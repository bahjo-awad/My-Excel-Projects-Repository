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316" documentId="8_{244C8E35-DAB8-414E-8848-0040370C00FC}" xr6:coauthVersionLast="47" xr6:coauthVersionMax="47" xr10:uidLastSave="{D3353BA3-C284-44D1-8FF6-37003D430099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<sst xmlns="http://schemas.openxmlformats.org/spreadsheetml/2006/main" count="94" uniqueCount="42">
  <si>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</si>
  <si>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</si>
  <si>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</si>
  <si>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</si>
  <si>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</si>
  <si>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</si>
  <si>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</si>
  <si>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</si>
  <si>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</si>
  <si>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</si>
  <si>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</si>
  <si>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</si>
  <si>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</si>
  <si>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</si>
  <si>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</si>
  <si>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</si>
  <si>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</si>
  <si>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</si>
  <si>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</si>
  <si>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</si>
  <si>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</si>
  <si>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</si>
  <si>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</si>
  <si>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</si>
  <si>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</si>
  <si>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</si>
  <si>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</si>
  <si>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</si>
  <si>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</si>
  <si>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</si>
  <si>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link to hmrc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</si>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</sst>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0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opLeftCell="Q10" workbookViewId="0">
      <selection activeCell="W16" sqref="W11:W16"/>
    </sheetView>
  </sheetViews>
  <sheetFormatPr defaultRowHeight="15"/>
  <cols>
    <col min="1" max="1" width="16.7109375" bestFit="1" customWidth="1"/>
    <col min="2" max="11" width="9" bestFit="1" customWidth="1"/>
    <col min="12" max="14" width="7.7109375" customWidth="1"/>
    <col min="15" max="15" width="9.85546875" bestFit="1" customWidth="1"/>
  </cols>
  <sheetData>
    <row r="1" spans="1:20" ht="23.25">
      <c r="A1" s="1" t="s">
        <v>0</v>
      </c>
    </row>
    <row r="2" spans="1:20" ht="9.75" customHeight="1"/>
    <row r="3" spans="1:20" ht="19.5">
      <c r="A3" s="8" t="s">
        <v>1</v>
      </c>
      <c r="B3" s="8"/>
    </row>
    <row r="4" spans="1:20">
      <c r="A4" s="2" t="s">
        <v>2</v>
      </c>
      <c r="B4" s="9">
        <v>0.32</v>
      </c>
    </row>
    <row r="5" spans="1:20">
      <c r="A5" s="2" t="s">
        <v>3</v>
      </c>
      <c r="B5" s="9">
        <v>0.08</v>
      </c>
    </row>
    <row r="6" spans="1:20">
      <c r="A6" s="2" t="s">
        <v>4</v>
      </c>
      <c r="B6" s="9">
        <v>0.05</v>
      </c>
    </row>
    <row r="7" spans="1:20" ht="6.75" customHeight="1"/>
    <row r="8" spans="1:20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20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20" ht="8.25" customHeight="1"/>
    <row r="11" spans="1:20" ht="15.75" customHeight="1">
      <c r="A11" s="2" t="s">
        <v>20</v>
      </c>
    </row>
    <row r="12" spans="1:20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20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  <c r="T13" s="29"/>
    </row>
    <row r="14" spans="1:20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  <c r="T14" s="29"/>
    </row>
    <row r="15" spans="1:20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  <c r="T15" s="29"/>
    </row>
    <row r="16" spans="1:20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  <c r="T16" s="29"/>
    </row>
    <row r="17" spans="1:20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  <c r="T17" s="29"/>
    </row>
    <row r="18" spans="1:20" ht="15.75" thickTop="1">
      <c r="T18" s="29"/>
    </row>
    <row r="19" spans="1:20">
      <c r="A19" t="s">
        <v>27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  <c r="T19" s="29"/>
    </row>
    <row r="20" spans="1:20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  <c r="T20" s="29"/>
    </row>
    <row r="21" spans="1:20">
      <c r="A21" t="s">
        <v>3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  <c r="T21" s="29"/>
    </row>
    <row r="22" spans="1:20">
      <c r="A22" t="s">
        <v>4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  <c r="T22" s="29"/>
    </row>
    <row r="23" spans="1:20" ht="15.75" thickBot="1">
      <c r="A23" s="6" t="s">
        <v>28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20" ht="15.75" thickTop="1">
      <c r="B24" s="10"/>
      <c r="O24" s="18"/>
    </row>
    <row r="25" spans="1:20">
      <c r="A25" s="11"/>
      <c r="B25" s="12"/>
    </row>
    <row r="26" spans="1:20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topLeftCell="C1" workbookViewId="0">
      <selection activeCell="D5" sqref="D5:F5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 t="s">
        <v>30</v>
      </c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5</v>
      </c>
      <c r="B4" t="s">
        <v>35</v>
      </c>
      <c r="C4" s="26">
        <v>37864</v>
      </c>
      <c r="D4" t="s">
        <v>36</v>
      </c>
      <c r="F4" s="20"/>
      <c r="G4" s="20"/>
      <c r="H4" s="20"/>
    </row>
    <row r="5" spans="1:10">
      <c r="A5" t="s">
        <v>6</v>
      </c>
      <c r="B5" t="s">
        <v>35</v>
      </c>
      <c r="C5" s="26">
        <v>26148</v>
      </c>
      <c r="D5" t="s">
        <v>37</v>
      </c>
      <c r="F5" s="20"/>
      <c r="G5" s="20"/>
      <c r="H5" s="20"/>
    </row>
    <row r="6" spans="1:10">
      <c r="A6" t="s">
        <v>7</v>
      </c>
      <c r="B6" t="s">
        <v>38</v>
      </c>
      <c r="C6" s="26">
        <v>26345</v>
      </c>
      <c r="D6" t="s">
        <v>39</v>
      </c>
      <c r="F6" s="20"/>
      <c r="G6" s="20"/>
      <c r="H6" s="20"/>
    </row>
    <row r="7" spans="1:10">
      <c r="A7" t="s">
        <v>8</v>
      </c>
      <c r="B7" t="s">
        <v>38</v>
      </c>
      <c r="C7" s="26">
        <v>23562</v>
      </c>
      <c r="D7" t="s">
        <v>36</v>
      </c>
    </row>
    <row r="8" spans="1:10">
      <c r="A8" t="s">
        <v>9</v>
      </c>
      <c r="B8" t="s">
        <v>35</v>
      </c>
      <c r="C8" s="26">
        <v>19888</v>
      </c>
      <c r="D8" t="s">
        <v>39</v>
      </c>
    </row>
    <row r="9" spans="1:10">
      <c r="A9" t="s">
        <v>10</v>
      </c>
      <c r="B9" t="s">
        <v>35</v>
      </c>
      <c r="C9" s="26">
        <v>32918</v>
      </c>
      <c r="D9" t="s">
        <v>37</v>
      </c>
      <c r="J9" s="19"/>
    </row>
    <row r="10" spans="1:10">
      <c r="A10" t="s">
        <v>11</v>
      </c>
      <c r="B10" t="s">
        <v>35</v>
      </c>
      <c r="C10" s="26">
        <v>18931</v>
      </c>
      <c r="D10" t="s">
        <v>36</v>
      </c>
      <c r="J10" s="19"/>
    </row>
    <row r="11" spans="1:10">
      <c r="A11" t="s">
        <v>12</v>
      </c>
      <c r="B11" t="s">
        <v>35</v>
      </c>
      <c r="C11" s="26">
        <v>32829</v>
      </c>
      <c r="D11" t="s">
        <v>36</v>
      </c>
      <c r="J11" s="21"/>
    </row>
    <row r="12" spans="1:10">
      <c r="A12" t="s">
        <v>13</v>
      </c>
      <c r="B12" t="s">
        <v>35</v>
      </c>
      <c r="C12" s="26">
        <v>38296</v>
      </c>
      <c r="D12" t="s">
        <v>37</v>
      </c>
    </row>
    <row r="13" spans="1:10">
      <c r="A13" t="s">
        <v>14</v>
      </c>
      <c r="B13" t="s">
        <v>38</v>
      </c>
      <c r="C13" s="26">
        <v>28554</v>
      </c>
      <c r="D13" t="s">
        <v>36</v>
      </c>
      <c r="J13" s="22"/>
    </row>
    <row r="14" spans="1:10">
      <c r="A14" t="s">
        <v>15</v>
      </c>
      <c r="B14" t="s">
        <v>35</v>
      </c>
      <c r="C14" s="26">
        <v>27368</v>
      </c>
      <c r="D14" t="s">
        <v>39</v>
      </c>
      <c r="J14" s="19"/>
    </row>
    <row r="15" spans="1:10">
      <c r="A15" t="s">
        <v>16</v>
      </c>
      <c r="B15" t="s">
        <v>38</v>
      </c>
      <c r="C15" s="26">
        <v>20850</v>
      </c>
      <c r="D15" t="s">
        <v>37</v>
      </c>
    </row>
    <row r="16" spans="1:10">
      <c r="A16" t="s">
        <v>17</v>
      </c>
      <c r="B16" t="s">
        <v>35</v>
      </c>
      <c r="C16" s="26">
        <v>19345</v>
      </c>
      <c r="D16" t="s">
        <v>37</v>
      </c>
    </row>
    <row r="17" spans="1:4">
      <c r="A17" t="s">
        <v>18</v>
      </c>
      <c r="B17" t="s">
        <v>38</v>
      </c>
      <c r="C17" s="26">
        <v>38158</v>
      </c>
      <c r="D17" t="s">
        <v>36</v>
      </c>
    </row>
    <row r="18" spans="1:4">
      <c r="A18" s="6" t="s">
        <v>26</v>
      </c>
      <c r="B18" s="6"/>
      <c r="C18" s="27">
        <f>SUM(C4:C17)</f>
        <v>391056</v>
      </c>
      <c r="D18" s="6"/>
    </row>
    <row r="20" spans="1:4">
      <c r="A20" s="3" t="s">
        <v>34</v>
      </c>
      <c r="B20" s="3" t="s">
        <v>33</v>
      </c>
      <c r="C20" s="3" t="s">
        <v>40</v>
      </c>
    </row>
    <row r="21" spans="1:4">
      <c r="A21" t="s">
        <v>36</v>
      </c>
      <c r="B21" s="25">
        <f>SUMIF($D$4:$D$17,A21,$C$4:$C$17)</f>
        <v>179898</v>
      </c>
      <c r="C21">
        <f>COUNTIF($D$4:$D$17,A21)</f>
        <v>6</v>
      </c>
    </row>
    <row r="22" spans="1:4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39</v>
      </c>
      <c r="B23" s="25">
        <f t="shared" si="0"/>
        <v>73601</v>
      </c>
      <c r="C23">
        <f t="shared" si="1"/>
        <v>3</v>
      </c>
    </row>
    <row r="24" spans="1:4">
      <c r="A24" s="6" t="s">
        <v>41</v>
      </c>
      <c r="B24" s="28">
        <f>SUM(B21:B23)</f>
        <v>391056</v>
      </c>
      <c r="C24" s="7">
        <f>SUM(C21:C23)</f>
        <v>14</v>
      </c>
    </row>
    <row r="26" spans="1:4">
      <c r="A26" s="3" t="s">
        <v>32</v>
      </c>
      <c r="B26" s="3" t="s">
        <v>33</v>
      </c>
      <c r="C26" s="3" t="s">
        <v>40</v>
      </c>
    </row>
    <row r="27" spans="1:4">
      <c r="A27" t="s">
        <v>35</v>
      </c>
      <c r="B27" s="25">
        <f>SUMIF($B$4:$B$17,A27,$C$4:$C$17)</f>
        <v>253587</v>
      </c>
      <c r="C27">
        <f>COUNTIF(B4:B17,A27)</f>
        <v>9</v>
      </c>
    </row>
    <row r="28" spans="1:4">
      <c r="A28" t="s">
        <v>38</v>
      </c>
      <c r="B28" s="25">
        <f>SUMIF($B$4:$B$17,A28,$C$4:$C$17)</f>
        <v>137469</v>
      </c>
      <c r="C28">
        <f>COUNTIF(B5:B17,A28)</f>
        <v>5</v>
      </c>
    </row>
    <row r="29" spans="1:4">
      <c r="A29" s="6" t="s">
        <v>41</v>
      </c>
      <c r="B29" s="28">
        <f>SUM(B27:B28)</f>
        <v>391056</v>
      </c>
      <c r="C29" s="7">
        <f>SUM(C27:C28)</f>
        <v>14</v>
      </c>
    </row>
  </sheetData>
  <dataValidations count="2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D046EBA4-A48F-4B87-983F-C1DC2C25D2A8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Bahjo Awad</cp:lastModifiedBy>
  <cp:revision/>
  <dcterms:created xsi:type="dcterms:W3CDTF">2009-08-25T13:44:58Z</dcterms:created>
  <dcterms:modified xsi:type="dcterms:W3CDTF">2026-05-08T11:20:47Z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