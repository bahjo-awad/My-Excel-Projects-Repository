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459" documentId="8_{A1B6FE3E-8BD6-4C9B-AFBF-A92F2DF013F5}" xr6:coauthVersionLast="47" xr6:coauthVersionMax="47" xr10:uidLastSave="{F731D4D4-E260-4F88-AED9-E09E22D88FD3}"/>
  <bookViews>
    <workbookView xWindow="-28920" yWindow="-1530" windowWidth="29040" windowHeight="16440" firstSheet="1" activeTab="3" xr2:uid="{00000000-000D-0000-FFFF-FFFF00000000}"/>
  </bookViews>
  <sheets>
    <sheet name="retail_sales_dataset" sheetId="1" r:id="rId1"/>
    <sheet name="Transactions" sheetId="2" r:id="rId2"/>
    <sheet name="charts and grahs" sheetId="3" r:id="rId3"/>
    <sheet name="charts and graphs" sheetId="4" r:id="rId4"/>
  </sheets>
  <definedNames>
    <definedName name="_xlnm._FilterDatabase" localSheetId="0" hidden="1">retail_sales_dataset!$A$1:$S$1</definedName>
    <definedName name="_xlcn.WorksheetConnection_retail_sales_dataset.xlsxTable11" hidden="1">retail_sales_dataset!$A$1:$N$1001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42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1" l="1"/>
  <c r="S18" i="1"/>
  <c r="C2" i="2"/>
  <c r="C2" i="1"/>
  <c r="C3" i="1"/>
  <c r="C4" i="1"/>
  <c r="C5" i="1"/>
  <c r="C3" i="2"/>
  <c r="C4" i="2"/>
  <c r="C5" i="2"/>
  <c r="C6" i="2"/>
  <c r="C7" i="2"/>
  <c r="C8" i="2"/>
  <c r="C9" i="2"/>
  <c r="C10" i="2"/>
  <c r="B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K3" i="1" a="1"/>
  <c r="K3" i="1"/>
  <c r="K4" i="1" a="1"/>
  <c r="K4" i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16" i="1" a="1"/>
  <c r="K16" i="1"/>
  <c r="K17" i="1" a="1"/>
  <c r="K17" i="1"/>
  <c r="K18" i="1" a="1"/>
  <c r="K18" i="1"/>
  <c r="K19" i="1" a="1"/>
  <c r="K19" i="1"/>
  <c r="K20" i="1" a="1"/>
  <c r="K20" i="1"/>
  <c r="K21" i="1" a="1"/>
  <c r="K21" i="1"/>
  <c r="K22" i="1" a="1"/>
  <c r="K22" i="1"/>
  <c r="K23" i="1" a="1"/>
  <c r="K23" i="1"/>
  <c r="K24" i="1" a="1"/>
  <c r="K24" i="1"/>
  <c r="K25" i="1" a="1"/>
  <c r="K25" i="1"/>
  <c r="K26" i="1" a="1"/>
  <c r="K26" i="1"/>
  <c r="K27" i="1" a="1"/>
  <c r="K27" i="1"/>
  <c r="K28" i="1" a="1"/>
  <c r="K28" i="1"/>
  <c r="K29" i="1" a="1"/>
  <c r="K29" i="1"/>
  <c r="K30" i="1" a="1"/>
  <c r="K30" i="1"/>
  <c r="K31" i="1" a="1"/>
  <c r="K31" i="1"/>
  <c r="K32" i="1" a="1"/>
  <c r="K32" i="1"/>
  <c r="K33" i="1" a="1"/>
  <c r="K33" i="1"/>
  <c r="K34" i="1" a="1"/>
  <c r="K34" i="1"/>
  <c r="K35" i="1" a="1"/>
  <c r="K35" i="1"/>
  <c r="K36" i="1" a="1"/>
  <c r="K36" i="1"/>
  <c r="K37" i="1" a="1"/>
  <c r="K37" i="1"/>
  <c r="K38" i="1" a="1"/>
  <c r="K38" i="1"/>
  <c r="K39" i="1" a="1"/>
  <c r="K39" i="1"/>
  <c r="K40" i="1" a="1"/>
  <c r="K40" i="1"/>
  <c r="K41" i="1" a="1"/>
  <c r="K41" i="1"/>
  <c r="K42" i="1" a="1"/>
  <c r="K42" i="1"/>
  <c r="K43" i="1" a="1"/>
  <c r="K43" i="1"/>
  <c r="K44" i="1" a="1"/>
  <c r="K44" i="1"/>
  <c r="K45" i="1" a="1"/>
  <c r="K45" i="1"/>
  <c r="K46" i="1" a="1"/>
  <c r="K46" i="1"/>
  <c r="K47" i="1" a="1"/>
  <c r="K47" i="1"/>
  <c r="K48" i="1" a="1"/>
  <c r="K48" i="1"/>
  <c r="K49" i="1" a="1"/>
  <c r="K49" i="1"/>
  <c r="K50" i="1" a="1"/>
  <c r="K50" i="1"/>
  <c r="K51" i="1" a="1"/>
  <c r="K51" i="1"/>
  <c r="K52" i="1" a="1"/>
  <c r="K52" i="1"/>
  <c r="K53" i="1" a="1"/>
  <c r="K53" i="1"/>
  <c r="K54" i="1" a="1"/>
  <c r="K54" i="1"/>
  <c r="K55" i="1" a="1"/>
  <c r="K55" i="1"/>
  <c r="K56" i="1" a="1"/>
  <c r="K56" i="1"/>
  <c r="K57" i="1" a="1"/>
  <c r="K57" i="1"/>
  <c r="K58" i="1" a="1"/>
  <c r="K58" i="1"/>
  <c r="K59" i="1" a="1"/>
  <c r="K59" i="1"/>
  <c r="K60" i="1" a="1"/>
  <c r="K60" i="1"/>
  <c r="K61" i="1" a="1"/>
  <c r="K61" i="1"/>
  <c r="K62" i="1" a="1"/>
  <c r="K62" i="1"/>
  <c r="K63" i="1" a="1"/>
  <c r="K63" i="1"/>
  <c r="K64" i="1" a="1"/>
  <c r="K64" i="1"/>
  <c r="K65" i="1" a="1"/>
  <c r="K65" i="1"/>
  <c r="K66" i="1" a="1"/>
  <c r="K66" i="1"/>
  <c r="K67" i="1" a="1"/>
  <c r="K67" i="1"/>
  <c r="K68" i="1" a="1"/>
  <c r="K68" i="1"/>
  <c r="K69" i="1" a="1"/>
  <c r="K69" i="1"/>
  <c r="K70" i="1" a="1"/>
  <c r="K70" i="1"/>
  <c r="K71" i="1" a="1"/>
  <c r="K71" i="1"/>
  <c r="K72" i="1" a="1"/>
  <c r="K72" i="1"/>
  <c r="K73" i="1" a="1"/>
  <c r="K73" i="1"/>
  <c r="K74" i="1" a="1"/>
  <c r="K74" i="1"/>
  <c r="K75" i="1" a="1"/>
  <c r="K75" i="1"/>
  <c r="K76" i="1" a="1"/>
  <c r="K76" i="1"/>
  <c r="K77" i="1" a="1"/>
  <c r="K77" i="1"/>
  <c r="K78" i="1" a="1"/>
  <c r="K78" i="1"/>
  <c r="K79" i="1" a="1"/>
  <c r="K79" i="1"/>
  <c r="K80" i="1" a="1"/>
  <c r="K80" i="1"/>
  <c r="K81" i="1" a="1"/>
  <c r="K81" i="1"/>
  <c r="K82" i="1" a="1"/>
  <c r="K82" i="1"/>
  <c r="K83" i="1" a="1"/>
  <c r="K83" i="1"/>
  <c r="K84" i="1" a="1"/>
  <c r="K84" i="1"/>
  <c r="K85" i="1" a="1"/>
  <c r="K85" i="1"/>
  <c r="K86" i="1" a="1"/>
  <c r="K86" i="1"/>
  <c r="K87" i="1" a="1"/>
  <c r="K87" i="1"/>
  <c r="K88" i="1" a="1"/>
  <c r="K88" i="1"/>
  <c r="K89" i="1" a="1"/>
  <c r="K89" i="1"/>
  <c r="K90" i="1" a="1"/>
  <c r="K90" i="1"/>
  <c r="K91" i="1" a="1"/>
  <c r="K91" i="1"/>
  <c r="K92" i="1" a="1"/>
  <c r="K92" i="1"/>
  <c r="K93" i="1" a="1"/>
  <c r="K93" i="1"/>
  <c r="K94" i="1" a="1"/>
  <c r="K94" i="1"/>
  <c r="K95" i="1" a="1"/>
  <c r="K95" i="1"/>
  <c r="K96" i="1" a="1"/>
  <c r="K96" i="1"/>
  <c r="K97" i="1" a="1"/>
  <c r="K97" i="1"/>
  <c r="K98" i="1" a="1"/>
  <c r="K98" i="1"/>
  <c r="K99" i="1" a="1"/>
  <c r="K99" i="1"/>
  <c r="K100" i="1" a="1"/>
  <c r="K100" i="1"/>
  <c r="K101" i="1" a="1"/>
  <c r="K101" i="1"/>
  <c r="K102" i="1" a="1"/>
  <c r="K102" i="1"/>
  <c r="K103" i="1" a="1"/>
  <c r="K103" i="1"/>
  <c r="K104" i="1" a="1"/>
  <c r="K104" i="1"/>
  <c r="K105" i="1" a="1"/>
  <c r="K105" i="1"/>
  <c r="K106" i="1" a="1"/>
  <c r="K106" i="1"/>
  <c r="K107" i="1" a="1"/>
  <c r="K107" i="1"/>
  <c r="K108" i="1" a="1"/>
  <c r="K108" i="1"/>
  <c r="K109" i="1" a="1"/>
  <c r="K109" i="1"/>
  <c r="K110" i="1" a="1"/>
  <c r="K110" i="1"/>
  <c r="K111" i="1" a="1"/>
  <c r="K111" i="1"/>
  <c r="K112" i="1" a="1"/>
  <c r="K112" i="1"/>
  <c r="K113" i="1" a="1"/>
  <c r="K113" i="1"/>
  <c r="K114" i="1" a="1"/>
  <c r="K114" i="1"/>
  <c r="K115" i="1" a="1"/>
  <c r="K115" i="1"/>
  <c r="K116" i="1" a="1"/>
  <c r="K116" i="1"/>
  <c r="K117" i="1" a="1"/>
  <c r="K117" i="1"/>
  <c r="K118" i="1" a="1"/>
  <c r="K118" i="1"/>
  <c r="K119" i="1" a="1"/>
  <c r="K119" i="1"/>
  <c r="K120" i="1" a="1"/>
  <c r="K120" i="1"/>
  <c r="K121" i="1" a="1"/>
  <c r="K121" i="1"/>
  <c r="K122" i="1" a="1"/>
  <c r="K122" i="1"/>
  <c r="K123" i="1" a="1"/>
  <c r="K123" i="1"/>
  <c r="K124" i="1" a="1"/>
  <c r="K124" i="1"/>
  <c r="K125" i="1" a="1"/>
  <c r="K125" i="1"/>
  <c r="K126" i="1" a="1"/>
  <c r="K126" i="1"/>
  <c r="K127" i="1" a="1"/>
  <c r="K127" i="1"/>
  <c r="K128" i="1" a="1"/>
  <c r="K128" i="1"/>
  <c r="K129" i="1" a="1"/>
  <c r="K129" i="1"/>
  <c r="K130" i="1" a="1"/>
  <c r="K130" i="1"/>
  <c r="K131" i="1" a="1"/>
  <c r="K131" i="1"/>
  <c r="K132" i="1" a="1"/>
  <c r="K132" i="1"/>
  <c r="K133" i="1" a="1"/>
  <c r="K133" i="1"/>
  <c r="K134" i="1" a="1"/>
  <c r="K134" i="1"/>
  <c r="K135" i="1" a="1"/>
  <c r="K135" i="1"/>
  <c r="K136" i="1" a="1"/>
  <c r="K136" i="1"/>
  <c r="K137" i="1" a="1"/>
  <c r="K137" i="1"/>
  <c r="K138" i="1" a="1"/>
  <c r="K138" i="1"/>
  <c r="K139" i="1" a="1"/>
  <c r="K139" i="1"/>
  <c r="K140" i="1" a="1"/>
  <c r="K140" i="1"/>
  <c r="K141" i="1" a="1"/>
  <c r="K141" i="1"/>
  <c r="K142" i="1" a="1"/>
  <c r="K142" i="1"/>
  <c r="K143" i="1" a="1"/>
  <c r="K143" i="1"/>
  <c r="K144" i="1" a="1"/>
  <c r="K144" i="1"/>
  <c r="K145" i="1" a="1"/>
  <c r="K145" i="1"/>
  <c r="K146" i="1" a="1"/>
  <c r="K146" i="1"/>
  <c r="K147" i="1" a="1"/>
  <c r="K147" i="1"/>
  <c r="K148" i="1" a="1"/>
  <c r="K148" i="1"/>
  <c r="K149" i="1" a="1"/>
  <c r="K149" i="1"/>
  <c r="K150" i="1" a="1"/>
  <c r="K150" i="1"/>
  <c r="K151" i="1" a="1"/>
  <c r="K151" i="1"/>
  <c r="K152" i="1" a="1"/>
  <c r="K152" i="1"/>
  <c r="K153" i="1" a="1"/>
  <c r="K153" i="1"/>
  <c r="K154" i="1" a="1"/>
  <c r="K154" i="1"/>
  <c r="K155" i="1" a="1"/>
  <c r="K155" i="1"/>
  <c r="K156" i="1" a="1"/>
  <c r="K156" i="1"/>
  <c r="K157" i="1" a="1"/>
  <c r="K157" i="1"/>
  <c r="K158" i="1" a="1"/>
  <c r="K158" i="1"/>
  <c r="K159" i="1" a="1"/>
  <c r="K159" i="1"/>
  <c r="K160" i="1" a="1"/>
  <c r="K160" i="1"/>
  <c r="K161" i="1" a="1"/>
  <c r="K161" i="1"/>
  <c r="K162" i="1" a="1"/>
  <c r="K162" i="1"/>
  <c r="K163" i="1" a="1"/>
  <c r="K163" i="1"/>
  <c r="K164" i="1" a="1"/>
  <c r="K164" i="1"/>
  <c r="K165" i="1" a="1"/>
  <c r="K165" i="1"/>
  <c r="K166" i="1" a="1"/>
  <c r="K166" i="1"/>
  <c r="K167" i="1" a="1"/>
  <c r="K167" i="1"/>
  <c r="K168" i="1" a="1"/>
  <c r="K168" i="1"/>
  <c r="K169" i="1" a="1"/>
  <c r="K169" i="1"/>
  <c r="K170" i="1" a="1"/>
  <c r="K170" i="1"/>
  <c r="K171" i="1" a="1"/>
  <c r="K171" i="1"/>
  <c r="K172" i="1" a="1"/>
  <c r="K172" i="1"/>
  <c r="K173" i="1" a="1"/>
  <c r="K173" i="1"/>
  <c r="K174" i="1" a="1"/>
  <c r="K174" i="1"/>
  <c r="K175" i="1" a="1"/>
  <c r="K175" i="1"/>
  <c r="K176" i="1" a="1"/>
  <c r="K176" i="1"/>
  <c r="K177" i="1" a="1"/>
  <c r="K177" i="1"/>
  <c r="K178" i="1" a="1"/>
  <c r="K178" i="1"/>
  <c r="K179" i="1" a="1"/>
  <c r="K179" i="1"/>
  <c r="K180" i="1" a="1"/>
  <c r="K180" i="1"/>
  <c r="K181" i="1" a="1"/>
  <c r="K181" i="1"/>
  <c r="K182" i="1" a="1"/>
  <c r="K182" i="1"/>
  <c r="K183" i="1" a="1"/>
  <c r="K183" i="1"/>
  <c r="K184" i="1" a="1"/>
  <c r="K184" i="1"/>
  <c r="K185" i="1" a="1"/>
  <c r="K185" i="1"/>
  <c r="K186" i="1" a="1"/>
  <c r="K186" i="1"/>
  <c r="K187" i="1" a="1"/>
  <c r="K187" i="1"/>
  <c r="K188" i="1" a="1"/>
  <c r="K188" i="1"/>
  <c r="K189" i="1" a="1"/>
  <c r="K189" i="1"/>
  <c r="K190" i="1" a="1"/>
  <c r="K190" i="1"/>
  <c r="K191" i="1" a="1"/>
  <c r="K191" i="1"/>
  <c r="K192" i="1" a="1"/>
  <c r="K192" i="1"/>
  <c r="K193" i="1" a="1"/>
  <c r="K193" i="1"/>
  <c r="K194" i="1" a="1"/>
  <c r="K194" i="1"/>
  <c r="K195" i="1" a="1"/>
  <c r="K195" i="1"/>
  <c r="K196" i="1" a="1"/>
  <c r="K196" i="1"/>
  <c r="K197" i="1" a="1"/>
  <c r="K197" i="1"/>
  <c r="K198" i="1" a="1"/>
  <c r="K198" i="1"/>
  <c r="K199" i="1" a="1"/>
  <c r="K199" i="1"/>
  <c r="K200" i="1" a="1"/>
  <c r="K200" i="1"/>
  <c r="K201" i="1" a="1"/>
  <c r="K201" i="1"/>
  <c r="K202" i="1" a="1"/>
  <c r="K202" i="1"/>
  <c r="K203" i="1" a="1"/>
  <c r="K203" i="1"/>
  <c r="K204" i="1" a="1"/>
  <c r="K204" i="1"/>
  <c r="K205" i="1" a="1"/>
  <c r="K205" i="1"/>
  <c r="K206" i="1" a="1"/>
  <c r="K206" i="1"/>
  <c r="K207" i="1" a="1"/>
  <c r="K207" i="1"/>
  <c r="K208" i="1" a="1"/>
  <c r="K208" i="1"/>
  <c r="K209" i="1" a="1"/>
  <c r="K209" i="1"/>
  <c r="K210" i="1" a="1"/>
  <c r="K210" i="1"/>
  <c r="K211" i="1" a="1"/>
  <c r="K211" i="1"/>
  <c r="K212" i="1" a="1"/>
  <c r="K212" i="1"/>
  <c r="K213" i="1" a="1"/>
  <c r="K213" i="1"/>
  <c r="K214" i="1" a="1"/>
  <c r="K214" i="1"/>
  <c r="K215" i="1" a="1"/>
  <c r="K215" i="1"/>
  <c r="K216" i="1" a="1"/>
  <c r="K216" i="1"/>
  <c r="K217" i="1" a="1"/>
  <c r="K217" i="1"/>
  <c r="K218" i="1" a="1"/>
  <c r="K218" i="1"/>
  <c r="K219" i="1" a="1"/>
  <c r="K219" i="1"/>
  <c r="K220" i="1" a="1"/>
  <c r="K220" i="1"/>
  <c r="K221" i="1" a="1"/>
  <c r="K221" i="1"/>
  <c r="K222" i="1" a="1"/>
  <c r="K222" i="1"/>
  <c r="K223" i="1" a="1"/>
  <c r="K223" i="1"/>
  <c r="K224" i="1" a="1"/>
  <c r="K224" i="1"/>
  <c r="K225" i="1" a="1"/>
  <c r="K225" i="1"/>
  <c r="K226" i="1" a="1"/>
  <c r="K226" i="1"/>
  <c r="K227" i="1" a="1"/>
  <c r="K227" i="1"/>
  <c r="K228" i="1" a="1"/>
  <c r="K228" i="1"/>
  <c r="K229" i="1" a="1"/>
  <c r="K229" i="1"/>
  <c r="K230" i="1" a="1"/>
  <c r="K230" i="1"/>
  <c r="K231" i="1" a="1"/>
  <c r="K231" i="1"/>
  <c r="K232" i="1" a="1"/>
  <c r="K232" i="1"/>
  <c r="K233" i="1" a="1"/>
  <c r="K233" i="1"/>
  <c r="K234" i="1" a="1"/>
  <c r="K234" i="1"/>
  <c r="K235" i="1" a="1"/>
  <c r="K235" i="1"/>
  <c r="K236" i="1" a="1"/>
  <c r="K236" i="1"/>
  <c r="K237" i="1" a="1"/>
  <c r="K237" i="1"/>
  <c r="K238" i="1" a="1"/>
  <c r="K238" i="1"/>
  <c r="K239" i="1" a="1"/>
  <c r="K239" i="1"/>
  <c r="K240" i="1" a="1"/>
  <c r="K240" i="1"/>
  <c r="K241" i="1" a="1"/>
  <c r="K241" i="1"/>
  <c r="K242" i="1" a="1"/>
  <c r="K242" i="1"/>
  <c r="K243" i="1" a="1"/>
  <c r="K243" i="1"/>
  <c r="K244" i="1" a="1"/>
  <c r="K244" i="1"/>
  <c r="K245" i="1" a="1"/>
  <c r="K245" i="1"/>
  <c r="K246" i="1" a="1"/>
  <c r="K246" i="1"/>
  <c r="K247" i="1" a="1"/>
  <c r="K247" i="1"/>
  <c r="K248" i="1" a="1"/>
  <c r="K248" i="1"/>
  <c r="K249" i="1" a="1"/>
  <c r="K249" i="1"/>
  <c r="K250" i="1" a="1"/>
  <c r="K250" i="1"/>
  <c r="K251" i="1" a="1"/>
  <c r="K251" i="1"/>
  <c r="K252" i="1" a="1"/>
  <c r="K252" i="1"/>
  <c r="K253" i="1" a="1"/>
  <c r="K253" i="1"/>
  <c r="K254" i="1" a="1"/>
  <c r="K254" i="1"/>
  <c r="K255" i="1" a="1"/>
  <c r="K255" i="1"/>
  <c r="K256" i="1" a="1"/>
  <c r="K256" i="1"/>
  <c r="K257" i="1" a="1"/>
  <c r="K257" i="1"/>
  <c r="K258" i="1" a="1"/>
  <c r="K258" i="1"/>
  <c r="K259" i="1" a="1"/>
  <c r="K259" i="1"/>
  <c r="K260" i="1" a="1"/>
  <c r="K260" i="1"/>
  <c r="K261" i="1" a="1"/>
  <c r="K261" i="1"/>
  <c r="K262" i="1" a="1"/>
  <c r="K262" i="1"/>
  <c r="K263" i="1" a="1"/>
  <c r="K263" i="1"/>
  <c r="K264" i="1" a="1"/>
  <c r="K264" i="1"/>
  <c r="K265" i="1" a="1"/>
  <c r="K265" i="1"/>
  <c r="K266" i="1" a="1"/>
  <c r="K266" i="1"/>
  <c r="K267" i="1" a="1"/>
  <c r="K267" i="1"/>
  <c r="K268" i="1" a="1"/>
  <c r="K268" i="1"/>
  <c r="K269" i="1" a="1"/>
  <c r="K269" i="1"/>
  <c r="K270" i="1" a="1"/>
  <c r="K270" i="1"/>
  <c r="K271" i="1" a="1"/>
  <c r="K271" i="1"/>
  <c r="K272" i="1" a="1"/>
  <c r="K272" i="1"/>
  <c r="K273" i="1" a="1"/>
  <c r="K273" i="1"/>
  <c r="K274" i="1" a="1"/>
  <c r="K274" i="1"/>
  <c r="K275" i="1" a="1"/>
  <c r="K275" i="1"/>
  <c r="K276" i="1" a="1"/>
  <c r="K276" i="1"/>
  <c r="K277" i="1" a="1"/>
  <c r="K277" i="1"/>
  <c r="K278" i="1" a="1"/>
  <c r="K278" i="1"/>
  <c r="K279" i="1" a="1"/>
  <c r="K279" i="1"/>
  <c r="K280" i="1" a="1"/>
  <c r="K280" i="1"/>
  <c r="K281" i="1" a="1"/>
  <c r="K281" i="1"/>
  <c r="K282" i="1" a="1"/>
  <c r="K282" i="1"/>
  <c r="K283" i="1" a="1"/>
  <c r="K283" i="1"/>
  <c r="K284" i="1" a="1"/>
  <c r="K284" i="1"/>
  <c r="K285" i="1" a="1"/>
  <c r="K285" i="1"/>
  <c r="K286" i="1" a="1"/>
  <c r="K286" i="1"/>
  <c r="K287" i="1" a="1"/>
  <c r="K287" i="1"/>
  <c r="K288" i="1" a="1"/>
  <c r="K288" i="1"/>
  <c r="K289" i="1" a="1"/>
  <c r="K289" i="1"/>
  <c r="K290" i="1" a="1"/>
  <c r="K290" i="1"/>
  <c r="K291" i="1" a="1"/>
  <c r="K291" i="1"/>
  <c r="K292" i="1" a="1"/>
  <c r="K292" i="1"/>
  <c r="K293" i="1" a="1"/>
  <c r="K293" i="1"/>
  <c r="K294" i="1" a="1"/>
  <c r="K294" i="1"/>
  <c r="K295" i="1" a="1"/>
  <c r="K295" i="1"/>
  <c r="K296" i="1" a="1"/>
  <c r="K296" i="1"/>
  <c r="K297" i="1" a="1"/>
  <c r="K297" i="1"/>
  <c r="K298" i="1" a="1"/>
  <c r="K298" i="1"/>
  <c r="K299" i="1" a="1"/>
  <c r="K299" i="1"/>
  <c r="K300" i="1" a="1"/>
  <c r="K300" i="1"/>
  <c r="K301" i="1" a="1"/>
  <c r="K301" i="1"/>
  <c r="K302" i="1" a="1"/>
  <c r="K302" i="1"/>
  <c r="K303" i="1" a="1"/>
  <c r="K303" i="1"/>
  <c r="K304" i="1" a="1"/>
  <c r="K304" i="1"/>
  <c r="K305" i="1" a="1"/>
  <c r="K305" i="1"/>
  <c r="K306" i="1" a="1"/>
  <c r="K306" i="1"/>
  <c r="K307" i="1" a="1"/>
  <c r="K307" i="1"/>
  <c r="K308" i="1" a="1"/>
  <c r="K308" i="1"/>
  <c r="K309" i="1" a="1"/>
  <c r="K309" i="1"/>
  <c r="K310" i="1" a="1"/>
  <c r="K310" i="1"/>
  <c r="K311" i="1" a="1"/>
  <c r="K311" i="1"/>
  <c r="K312" i="1" a="1"/>
  <c r="K312" i="1"/>
  <c r="K313" i="1" a="1"/>
  <c r="K313" i="1"/>
  <c r="K314" i="1" a="1"/>
  <c r="K314" i="1"/>
  <c r="K315" i="1" a="1"/>
  <c r="K315" i="1"/>
  <c r="K316" i="1" a="1"/>
  <c r="K316" i="1"/>
  <c r="K317" i="1" a="1"/>
  <c r="K317" i="1"/>
  <c r="K318" i="1" a="1"/>
  <c r="K318" i="1"/>
  <c r="K319" i="1" a="1"/>
  <c r="K319" i="1"/>
  <c r="K320" i="1" a="1"/>
  <c r="K320" i="1"/>
  <c r="K321" i="1" a="1"/>
  <c r="K321" i="1"/>
  <c r="K322" i="1" a="1"/>
  <c r="K322" i="1"/>
  <c r="K323" i="1" a="1"/>
  <c r="K323" i="1"/>
  <c r="K324" i="1" a="1"/>
  <c r="K324" i="1"/>
  <c r="K325" i="1" a="1"/>
  <c r="K325" i="1"/>
  <c r="K326" i="1" a="1"/>
  <c r="K326" i="1"/>
  <c r="K327" i="1" a="1"/>
  <c r="K327" i="1"/>
  <c r="K328" i="1" a="1"/>
  <c r="K328" i="1"/>
  <c r="K329" i="1" a="1"/>
  <c r="K329" i="1"/>
  <c r="K330" i="1" a="1"/>
  <c r="K330" i="1"/>
  <c r="K331" i="1" a="1"/>
  <c r="K331" i="1"/>
  <c r="K332" i="1" a="1"/>
  <c r="K332" i="1"/>
  <c r="K333" i="1" a="1"/>
  <c r="K333" i="1"/>
  <c r="K334" i="1" a="1"/>
  <c r="K334" i="1"/>
  <c r="K335" i="1" a="1"/>
  <c r="K335" i="1"/>
  <c r="K336" i="1" a="1"/>
  <c r="K336" i="1"/>
  <c r="K337" i="1" a="1"/>
  <c r="K337" i="1"/>
  <c r="K338" i="1" a="1"/>
  <c r="K338" i="1"/>
  <c r="K339" i="1" a="1"/>
  <c r="K339" i="1"/>
  <c r="K340" i="1" a="1"/>
  <c r="K340" i="1"/>
  <c r="K341" i="1" a="1"/>
  <c r="K341" i="1"/>
  <c r="K342" i="1" a="1"/>
  <c r="K342" i="1"/>
  <c r="K343" i="1" a="1"/>
  <c r="K343" i="1"/>
  <c r="K344" i="1" a="1"/>
  <c r="K344" i="1"/>
  <c r="K345" i="1" a="1"/>
  <c r="K345" i="1"/>
  <c r="K346" i="1" a="1"/>
  <c r="K346" i="1"/>
  <c r="K347" i="1" a="1"/>
  <c r="K347" i="1"/>
  <c r="K348" i="1" a="1"/>
  <c r="K348" i="1"/>
  <c r="K349" i="1" a="1"/>
  <c r="K349" i="1"/>
  <c r="K350" i="1" a="1"/>
  <c r="K350" i="1"/>
  <c r="K351" i="1" a="1"/>
  <c r="K351" i="1"/>
  <c r="K352" i="1" a="1"/>
  <c r="K352" i="1"/>
  <c r="K353" i="1" a="1"/>
  <c r="K353" i="1"/>
  <c r="K354" i="1" a="1"/>
  <c r="K354" i="1"/>
  <c r="K355" i="1" a="1"/>
  <c r="K355" i="1"/>
  <c r="K356" i="1" a="1"/>
  <c r="K356" i="1"/>
  <c r="K357" i="1" a="1"/>
  <c r="K357" i="1"/>
  <c r="K358" i="1" a="1"/>
  <c r="K358" i="1"/>
  <c r="K359" i="1" a="1"/>
  <c r="K359" i="1"/>
  <c r="K360" i="1" a="1"/>
  <c r="K360" i="1"/>
  <c r="K361" i="1" a="1"/>
  <c r="K361" i="1"/>
  <c r="K362" i="1" a="1"/>
  <c r="K362" i="1"/>
  <c r="K363" i="1" a="1"/>
  <c r="K363" i="1"/>
  <c r="K364" i="1" a="1"/>
  <c r="K364" i="1"/>
  <c r="K365" i="1" a="1"/>
  <c r="K365" i="1"/>
  <c r="K366" i="1" a="1"/>
  <c r="K366" i="1"/>
  <c r="K367" i="1" a="1"/>
  <c r="K367" i="1"/>
  <c r="K368" i="1" a="1"/>
  <c r="K368" i="1"/>
  <c r="K369" i="1" a="1"/>
  <c r="K369" i="1"/>
  <c r="K370" i="1" a="1"/>
  <c r="K370" i="1"/>
  <c r="K371" i="1" a="1"/>
  <c r="K371" i="1"/>
  <c r="K372" i="1" a="1"/>
  <c r="K372" i="1"/>
  <c r="K373" i="1" a="1"/>
  <c r="K373" i="1"/>
  <c r="K374" i="1" a="1"/>
  <c r="K374" i="1"/>
  <c r="K375" i="1" a="1"/>
  <c r="K375" i="1"/>
  <c r="K376" i="1" a="1"/>
  <c r="K376" i="1"/>
  <c r="K377" i="1" a="1"/>
  <c r="K377" i="1"/>
  <c r="K378" i="1" a="1"/>
  <c r="K378" i="1"/>
  <c r="K379" i="1" a="1"/>
  <c r="K379" i="1"/>
  <c r="K380" i="1" a="1"/>
  <c r="K380" i="1"/>
  <c r="K381" i="1" a="1"/>
  <c r="K381" i="1"/>
  <c r="K382" i="1" a="1"/>
  <c r="K382" i="1"/>
  <c r="K383" i="1" a="1"/>
  <c r="K383" i="1"/>
  <c r="K384" i="1" a="1"/>
  <c r="K384" i="1"/>
  <c r="K385" i="1" a="1"/>
  <c r="K385" i="1"/>
  <c r="K386" i="1" a="1"/>
  <c r="K386" i="1"/>
  <c r="K387" i="1" a="1"/>
  <c r="K387" i="1"/>
  <c r="K388" i="1" a="1"/>
  <c r="K388" i="1"/>
  <c r="K389" i="1" a="1"/>
  <c r="K389" i="1"/>
  <c r="K390" i="1" a="1"/>
  <c r="K390" i="1"/>
  <c r="K391" i="1" a="1"/>
  <c r="K391" i="1"/>
  <c r="K392" i="1" a="1"/>
  <c r="K392" i="1"/>
  <c r="K393" i="1" a="1"/>
  <c r="K393" i="1"/>
  <c r="K394" i="1" a="1"/>
  <c r="K394" i="1"/>
  <c r="K395" i="1" a="1"/>
  <c r="K395" i="1"/>
  <c r="K396" i="1" a="1"/>
  <c r="K396" i="1"/>
  <c r="K397" i="1" a="1"/>
  <c r="K397" i="1"/>
  <c r="K398" i="1" a="1"/>
  <c r="K398" i="1"/>
  <c r="K399" i="1" a="1"/>
  <c r="K399" i="1"/>
  <c r="K400" i="1" a="1"/>
  <c r="K400" i="1"/>
  <c r="K401" i="1" a="1"/>
  <c r="K401" i="1"/>
  <c r="K402" i="1" a="1"/>
  <c r="K402" i="1"/>
  <c r="K403" i="1" a="1"/>
  <c r="K403" i="1"/>
  <c r="K404" i="1" a="1"/>
  <c r="K404" i="1"/>
  <c r="K405" i="1" a="1"/>
  <c r="K405" i="1"/>
  <c r="K406" i="1" a="1"/>
  <c r="K406" i="1"/>
  <c r="K407" i="1" a="1"/>
  <c r="K407" i="1"/>
  <c r="K408" i="1" a="1"/>
  <c r="K408" i="1"/>
  <c r="K409" i="1" a="1"/>
  <c r="K409" i="1"/>
  <c r="K410" i="1" a="1"/>
  <c r="K410" i="1"/>
  <c r="K411" i="1" a="1"/>
  <c r="K411" i="1"/>
  <c r="K412" i="1" a="1"/>
  <c r="K412" i="1"/>
  <c r="K413" i="1" a="1"/>
  <c r="K413" i="1"/>
  <c r="K414" i="1" a="1"/>
  <c r="K414" i="1"/>
  <c r="K415" i="1" a="1"/>
  <c r="K415" i="1"/>
  <c r="K416" i="1" a="1"/>
  <c r="K416" i="1"/>
  <c r="K417" i="1" a="1"/>
  <c r="K417" i="1"/>
  <c r="K418" i="1" a="1"/>
  <c r="K418" i="1"/>
  <c r="K419" i="1" a="1"/>
  <c r="K419" i="1"/>
  <c r="K420" i="1" a="1"/>
  <c r="K420" i="1"/>
  <c r="K421" i="1" a="1"/>
  <c r="K421" i="1"/>
  <c r="K422" i="1" a="1"/>
  <c r="K422" i="1"/>
  <c r="K423" i="1" a="1"/>
  <c r="K423" i="1"/>
  <c r="K424" i="1" a="1"/>
  <c r="K424" i="1"/>
  <c r="K425" i="1" a="1"/>
  <c r="K425" i="1"/>
  <c r="K426" i="1" a="1"/>
  <c r="K426" i="1"/>
  <c r="K427" i="1" a="1"/>
  <c r="K427" i="1"/>
  <c r="K428" i="1" a="1"/>
  <c r="K428" i="1"/>
  <c r="K429" i="1" a="1"/>
  <c r="K429" i="1"/>
  <c r="K430" i="1" a="1"/>
  <c r="K430" i="1"/>
  <c r="K431" i="1" a="1"/>
  <c r="K431" i="1"/>
  <c r="K432" i="1" a="1"/>
  <c r="K432" i="1"/>
  <c r="K433" i="1" a="1"/>
  <c r="K433" i="1"/>
  <c r="K434" i="1" a="1"/>
  <c r="K434" i="1"/>
  <c r="K435" i="1" a="1"/>
  <c r="K435" i="1"/>
  <c r="K436" i="1" a="1"/>
  <c r="K436" i="1"/>
  <c r="K437" i="1" a="1"/>
  <c r="K437" i="1"/>
  <c r="K438" i="1" a="1"/>
  <c r="K438" i="1"/>
  <c r="K439" i="1" a="1"/>
  <c r="K439" i="1"/>
  <c r="K440" i="1" a="1"/>
  <c r="K440" i="1"/>
  <c r="K441" i="1" a="1"/>
  <c r="K441" i="1"/>
  <c r="K442" i="1" a="1"/>
  <c r="K442" i="1"/>
  <c r="K443" i="1" a="1"/>
  <c r="K443" i="1"/>
  <c r="K444" i="1" a="1"/>
  <c r="K444" i="1"/>
  <c r="K445" i="1" a="1"/>
  <c r="K445" i="1"/>
  <c r="K446" i="1" a="1"/>
  <c r="K446" i="1"/>
  <c r="K447" i="1" a="1"/>
  <c r="K447" i="1"/>
  <c r="K448" i="1" a="1"/>
  <c r="K448" i="1"/>
  <c r="K449" i="1" a="1"/>
  <c r="K449" i="1"/>
  <c r="K450" i="1" a="1"/>
  <c r="K450" i="1"/>
  <c r="K451" i="1" a="1"/>
  <c r="K451" i="1"/>
  <c r="K452" i="1" a="1"/>
  <c r="K452" i="1"/>
  <c r="K453" i="1" a="1"/>
  <c r="K453" i="1"/>
  <c r="K454" i="1" a="1"/>
  <c r="K454" i="1"/>
  <c r="K455" i="1" a="1"/>
  <c r="K455" i="1"/>
  <c r="K456" i="1" a="1"/>
  <c r="K456" i="1"/>
  <c r="K457" i="1" a="1"/>
  <c r="K457" i="1"/>
  <c r="K458" i="1" a="1"/>
  <c r="K458" i="1"/>
  <c r="K459" i="1" a="1"/>
  <c r="K459" i="1"/>
  <c r="K460" i="1" a="1"/>
  <c r="K460" i="1"/>
  <c r="K461" i="1" a="1"/>
  <c r="K461" i="1"/>
  <c r="K462" i="1" a="1"/>
  <c r="K462" i="1"/>
  <c r="K463" i="1" a="1"/>
  <c r="K463" i="1"/>
  <c r="K464" i="1" a="1"/>
  <c r="K464" i="1"/>
  <c r="K465" i="1" a="1"/>
  <c r="K465" i="1"/>
  <c r="K466" i="1" a="1"/>
  <c r="K466" i="1"/>
  <c r="K467" i="1" a="1"/>
  <c r="K467" i="1"/>
  <c r="K468" i="1" a="1"/>
  <c r="K468" i="1"/>
  <c r="K469" i="1" a="1"/>
  <c r="K469" i="1"/>
  <c r="K470" i="1" a="1"/>
  <c r="K470" i="1"/>
  <c r="K471" i="1" a="1"/>
  <c r="K471" i="1"/>
  <c r="K472" i="1" a="1"/>
  <c r="K472" i="1"/>
  <c r="K473" i="1" a="1"/>
  <c r="K473" i="1"/>
  <c r="K474" i="1" a="1"/>
  <c r="K474" i="1"/>
  <c r="K475" i="1" a="1"/>
  <c r="K475" i="1"/>
  <c r="K476" i="1" a="1"/>
  <c r="K476" i="1"/>
  <c r="K477" i="1" a="1"/>
  <c r="K477" i="1"/>
  <c r="K478" i="1" a="1"/>
  <c r="K478" i="1"/>
  <c r="K479" i="1" a="1"/>
  <c r="K479" i="1"/>
  <c r="K480" i="1" a="1"/>
  <c r="K480" i="1"/>
  <c r="K481" i="1" a="1"/>
  <c r="K481" i="1"/>
  <c r="K482" i="1" a="1"/>
  <c r="K482" i="1"/>
  <c r="K483" i="1" a="1"/>
  <c r="K483" i="1"/>
  <c r="K484" i="1" a="1"/>
  <c r="K484" i="1"/>
  <c r="K485" i="1" a="1"/>
  <c r="K485" i="1"/>
  <c r="K486" i="1" a="1"/>
  <c r="K486" i="1"/>
  <c r="K487" i="1" a="1"/>
  <c r="K487" i="1"/>
  <c r="K488" i="1" a="1"/>
  <c r="K488" i="1"/>
  <c r="K489" i="1" a="1"/>
  <c r="K489" i="1"/>
  <c r="K490" i="1" a="1"/>
  <c r="K490" i="1"/>
  <c r="K491" i="1" a="1"/>
  <c r="K491" i="1"/>
  <c r="K492" i="1" a="1"/>
  <c r="K492" i="1"/>
  <c r="K493" i="1" a="1"/>
  <c r="K493" i="1"/>
  <c r="K494" i="1" a="1"/>
  <c r="K494" i="1"/>
  <c r="K495" i="1" a="1"/>
  <c r="K495" i="1"/>
  <c r="K496" i="1" a="1"/>
  <c r="K496" i="1"/>
  <c r="K497" i="1" a="1"/>
  <c r="K497" i="1"/>
  <c r="K498" i="1" a="1"/>
  <c r="K498" i="1"/>
  <c r="K499" i="1" a="1"/>
  <c r="K499" i="1"/>
  <c r="K500" i="1" a="1"/>
  <c r="K500" i="1"/>
  <c r="K501" i="1" a="1"/>
  <c r="K501" i="1"/>
  <c r="K502" i="1" a="1"/>
  <c r="K502" i="1"/>
  <c r="K503" i="1" a="1"/>
  <c r="K503" i="1"/>
  <c r="K504" i="1" a="1"/>
  <c r="K504" i="1"/>
  <c r="K505" i="1" a="1"/>
  <c r="K505" i="1"/>
  <c r="K506" i="1" a="1"/>
  <c r="K506" i="1"/>
  <c r="K507" i="1" a="1"/>
  <c r="K507" i="1"/>
  <c r="K508" i="1" a="1"/>
  <c r="K508" i="1"/>
  <c r="K509" i="1" a="1"/>
  <c r="K509" i="1"/>
  <c r="K510" i="1" a="1"/>
  <c r="K510" i="1"/>
  <c r="K511" i="1" a="1"/>
  <c r="K511" i="1"/>
  <c r="K512" i="1" a="1"/>
  <c r="K512" i="1"/>
  <c r="K513" i="1" a="1"/>
  <c r="K513" i="1"/>
  <c r="K514" i="1" a="1"/>
  <c r="K514" i="1"/>
  <c r="K515" i="1" a="1"/>
  <c r="K515" i="1"/>
  <c r="K516" i="1" a="1"/>
  <c r="K516" i="1"/>
  <c r="K517" i="1" a="1"/>
  <c r="K517" i="1"/>
  <c r="K518" i="1" a="1"/>
  <c r="K518" i="1"/>
  <c r="K519" i="1" a="1"/>
  <c r="K519" i="1"/>
  <c r="K520" i="1" a="1"/>
  <c r="K520" i="1"/>
  <c r="K521" i="1" a="1"/>
  <c r="K521" i="1"/>
  <c r="K522" i="1" a="1"/>
  <c r="K522" i="1"/>
  <c r="K523" i="1" a="1"/>
  <c r="K523" i="1"/>
  <c r="K524" i="1" a="1"/>
  <c r="K524" i="1"/>
  <c r="K525" i="1" a="1"/>
  <c r="K525" i="1"/>
  <c r="K526" i="1" a="1"/>
  <c r="K526" i="1"/>
  <c r="K527" i="1" a="1"/>
  <c r="K527" i="1"/>
  <c r="K528" i="1" a="1"/>
  <c r="K528" i="1"/>
  <c r="K529" i="1" a="1"/>
  <c r="K529" i="1"/>
  <c r="K530" i="1" a="1"/>
  <c r="K530" i="1"/>
  <c r="K531" i="1" a="1"/>
  <c r="K531" i="1"/>
  <c r="K532" i="1" a="1"/>
  <c r="K532" i="1"/>
  <c r="K533" i="1" a="1"/>
  <c r="K533" i="1"/>
  <c r="K534" i="1" a="1"/>
  <c r="K534" i="1"/>
  <c r="K535" i="1" a="1"/>
  <c r="K535" i="1"/>
  <c r="K536" i="1" a="1"/>
  <c r="K536" i="1"/>
  <c r="K537" i="1" a="1"/>
  <c r="K537" i="1"/>
  <c r="K538" i="1" a="1"/>
  <c r="K538" i="1"/>
  <c r="K539" i="1" a="1"/>
  <c r="K539" i="1"/>
  <c r="K540" i="1" a="1"/>
  <c r="K540" i="1"/>
  <c r="K541" i="1" a="1"/>
  <c r="K541" i="1"/>
  <c r="K542" i="1" a="1"/>
  <c r="K542" i="1"/>
  <c r="K543" i="1" a="1"/>
  <c r="K543" i="1"/>
  <c r="K544" i="1" a="1"/>
  <c r="K544" i="1"/>
  <c r="K545" i="1" a="1"/>
  <c r="K545" i="1"/>
  <c r="K546" i="1" a="1"/>
  <c r="K546" i="1"/>
  <c r="K547" i="1" a="1"/>
  <c r="K547" i="1"/>
  <c r="K548" i="1" a="1"/>
  <c r="K548" i="1"/>
  <c r="K549" i="1" a="1"/>
  <c r="K549" i="1"/>
  <c r="K550" i="1" a="1"/>
  <c r="K550" i="1"/>
  <c r="K551" i="1" a="1"/>
  <c r="K551" i="1"/>
  <c r="K552" i="1" a="1"/>
  <c r="K552" i="1"/>
  <c r="K553" i="1" a="1"/>
  <c r="K553" i="1"/>
  <c r="K554" i="1" a="1"/>
  <c r="K554" i="1"/>
  <c r="K555" i="1" a="1"/>
  <c r="K555" i="1"/>
  <c r="K556" i="1" a="1"/>
  <c r="K556" i="1"/>
  <c r="K557" i="1" a="1"/>
  <c r="K557" i="1"/>
  <c r="K558" i="1" a="1"/>
  <c r="K558" i="1"/>
  <c r="K559" i="1" a="1"/>
  <c r="K559" i="1"/>
  <c r="K560" i="1" a="1"/>
  <c r="K560" i="1"/>
  <c r="K561" i="1" a="1"/>
  <c r="K561" i="1"/>
  <c r="K562" i="1" a="1"/>
  <c r="K562" i="1"/>
  <c r="K563" i="1" a="1"/>
  <c r="K563" i="1"/>
  <c r="K564" i="1" a="1"/>
  <c r="K564" i="1"/>
  <c r="K565" i="1" a="1"/>
  <c r="K565" i="1"/>
  <c r="K566" i="1" a="1"/>
  <c r="K566" i="1"/>
  <c r="K567" i="1" a="1"/>
  <c r="K567" i="1"/>
  <c r="K568" i="1" a="1"/>
  <c r="K568" i="1"/>
  <c r="K569" i="1" a="1"/>
  <c r="K569" i="1"/>
  <c r="K570" i="1" a="1"/>
  <c r="K570" i="1"/>
  <c r="K571" i="1" a="1"/>
  <c r="K571" i="1"/>
  <c r="K572" i="1" a="1"/>
  <c r="K572" i="1"/>
  <c r="K573" i="1" a="1"/>
  <c r="K573" i="1"/>
  <c r="K574" i="1" a="1"/>
  <c r="K574" i="1"/>
  <c r="K575" i="1" a="1"/>
  <c r="K575" i="1"/>
  <c r="K576" i="1" a="1"/>
  <c r="K576" i="1"/>
  <c r="K577" i="1" a="1"/>
  <c r="K577" i="1"/>
  <c r="K578" i="1" a="1"/>
  <c r="K578" i="1"/>
  <c r="K579" i="1" a="1"/>
  <c r="K579" i="1"/>
  <c r="K580" i="1" a="1"/>
  <c r="K580" i="1"/>
  <c r="K581" i="1" a="1"/>
  <c r="K581" i="1"/>
  <c r="K582" i="1" a="1"/>
  <c r="K582" i="1"/>
  <c r="K583" i="1" a="1"/>
  <c r="K583" i="1"/>
  <c r="K584" i="1" a="1"/>
  <c r="K584" i="1"/>
  <c r="K585" i="1" a="1"/>
  <c r="K585" i="1"/>
  <c r="K586" i="1" a="1"/>
  <c r="K586" i="1"/>
  <c r="K587" i="1" a="1"/>
  <c r="K587" i="1"/>
  <c r="K588" i="1" a="1"/>
  <c r="K588" i="1"/>
  <c r="K589" i="1" a="1"/>
  <c r="K589" i="1"/>
  <c r="K590" i="1" a="1"/>
  <c r="K590" i="1"/>
  <c r="K591" i="1" a="1"/>
  <c r="K591" i="1"/>
  <c r="K592" i="1" a="1"/>
  <c r="K592" i="1"/>
  <c r="K593" i="1" a="1"/>
  <c r="K593" i="1"/>
  <c r="K594" i="1" a="1"/>
  <c r="K594" i="1"/>
  <c r="K595" i="1" a="1"/>
  <c r="K595" i="1"/>
  <c r="K596" i="1" a="1"/>
  <c r="K596" i="1"/>
  <c r="K597" i="1" a="1"/>
  <c r="K597" i="1"/>
  <c r="K598" i="1" a="1"/>
  <c r="K598" i="1"/>
  <c r="K599" i="1" a="1"/>
  <c r="K599" i="1"/>
  <c r="K600" i="1" a="1"/>
  <c r="K600" i="1"/>
  <c r="K601" i="1" a="1"/>
  <c r="K601" i="1"/>
  <c r="K602" i="1" a="1"/>
  <c r="K602" i="1"/>
  <c r="K603" i="1" a="1"/>
  <c r="K603" i="1"/>
  <c r="K604" i="1" a="1"/>
  <c r="K604" i="1"/>
  <c r="K605" i="1" a="1"/>
  <c r="K605" i="1"/>
  <c r="K606" i="1" a="1"/>
  <c r="K606" i="1"/>
  <c r="K607" i="1" a="1"/>
  <c r="K607" i="1"/>
  <c r="K608" i="1" a="1"/>
  <c r="K608" i="1"/>
  <c r="K609" i="1" a="1"/>
  <c r="K609" i="1"/>
  <c r="K610" i="1" a="1"/>
  <c r="K610" i="1"/>
  <c r="K611" i="1" a="1"/>
  <c r="K611" i="1"/>
  <c r="K612" i="1" a="1"/>
  <c r="K612" i="1"/>
  <c r="K613" i="1" a="1"/>
  <c r="K613" i="1"/>
  <c r="K614" i="1" a="1"/>
  <c r="K614" i="1"/>
  <c r="K615" i="1" a="1"/>
  <c r="K615" i="1"/>
  <c r="K616" i="1" a="1"/>
  <c r="K616" i="1"/>
  <c r="K617" i="1" a="1"/>
  <c r="K617" i="1"/>
  <c r="K618" i="1" a="1"/>
  <c r="K618" i="1"/>
  <c r="K619" i="1" a="1"/>
  <c r="K619" i="1"/>
  <c r="K620" i="1" a="1"/>
  <c r="K620" i="1"/>
  <c r="K621" i="1" a="1"/>
  <c r="K621" i="1"/>
  <c r="K622" i="1" a="1"/>
  <c r="K622" i="1"/>
  <c r="K623" i="1" a="1"/>
  <c r="K623" i="1"/>
  <c r="K624" i="1" a="1"/>
  <c r="K624" i="1"/>
  <c r="K625" i="1" a="1"/>
  <c r="K625" i="1"/>
  <c r="K626" i="1" a="1"/>
  <c r="K626" i="1"/>
  <c r="K627" i="1" a="1"/>
  <c r="K627" i="1"/>
  <c r="K628" i="1" a="1"/>
  <c r="K628" i="1"/>
  <c r="K629" i="1" a="1"/>
  <c r="K629" i="1"/>
  <c r="K630" i="1" a="1"/>
  <c r="K630" i="1"/>
  <c r="K631" i="1" a="1"/>
  <c r="K631" i="1"/>
  <c r="K632" i="1" a="1"/>
  <c r="K632" i="1"/>
  <c r="K633" i="1" a="1"/>
  <c r="K633" i="1"/>
  <c r="K634" i="1" a="1"/>
  <c r="K634" i="1"/>
  <c r="K635" i="1" a="1"/>
  <c r="K635" i="1"/>
  <c r="K636" i="1" a="1"/>
  <c r="K636" i="1"/>
  <c r="K637" i="1" a="1"/>
  <c r="K637" i="1"/>
  <c r="K638" i="1" a="1"/>
  <c r="K638" i="1"/>
  <c r="K639" i="1" a="1"/>
  <c r="K639" i="1"/>
  <c r="K640" i="1" a="1"/>
  <c r="K640" i="1"/>
  <c r="K641" i="1" a="1"/>
  <c r="K641" i="1"/>
  <c r="K642" i="1" a="1"/>
  <c r="K642" i="1"/>
  <c r="K643" i="1" a="1"/>
  <c r="K643" i="1"/>
  <c r="K644" i="1" a="1"/>
  <c r="K644" i="1"/>
  <c r="K645" i="1" a="1"/>
  <c r="K645" i="1"/>
  <c r="K646" i="1" a="1"/>
  <c r="K646" i="1"/>
  <c r="K647" i="1" a="1"/>
  <c r="K647" i="1"/>
  <c r="K648" i="1" a="1"/>
  <c r="K648" i="1"/>
  <c r="K649" i="1" a="1"/>
  <c r="K649" i="1"/>
  <c r="K650" i="1" a="1"/>
  <c r="K650" i="1"/>
  <c r="K651" i="1" a="1"/>
  <c r="K651" i="1"/>
  <c r="K652" i="1" a="1"/>
  <c r="K652" i="1"/>
  <c r="K653" i="1" a="1"/>
  <c r="K653" i="1"/>
  <c r="K654" i="1" a="1"/>
  <c r="K654" i="1"/>
  <c r="K655" i="1" a="1"/>
  <c r="K655" i="1"/>
  <c r="K656" i="1" a="1"/>
  <c r="K656" i="1"/>
  <c r="K657" i="1" a="1"/>
  <c r="K657" i="1"/>
  <c r="K658" i="1" a="1"/>
  <c r="K658" i="1"/>
  <c r="K659" i="1" a="1"/>
  <c r="K659" i="1"/>
  <c r="K660" i="1" a="1"/>
  <c r="K660" i="1"/>
  <c r="K661" i="1" a="1"/>
  <c r="K661" i="1"/>
  <c r="K662" i="1" a="1"/>
  <c r="K662" i="1"/>
  <c r="K663" i="1" a="1"/>
  <c r="K663" i="1"/>
  <c r="K664" i="1" a="1"/>
  <c r="K664" i="1"/>
  <c r="K665" i="1" a="1"/>
  <c r="K665" i="1"/>
  <c r="K666" i="1" a="1"/>
  <c r="K666" i="1"/>
  <c r="K667" i="1" a="1"/>
  <c r="K667" i="1"/>
  <c r="K668" i="1" a="1"/>
  <c r="K668" i="1"/>
  <c r="K669" i="1" a="1"/>
  <c r="K669" i="1"/>
  <c r="K670" i="1" a="1"/>
  <c r="K670" i="1"/>
  <c r="K671" i="1" a="1"/>
  <c r="K671" i="1"/>
  <c r="K672" i="1" a="1"/>
  <c r="K672" i="1"/>
  <c r="K673" i="1" a="1"/>
  <c r="K673" i="1"/>
  <c r="K674" i="1" a="1"/>
  <c r="K674" i="1"/>
  <c r="K675" i="1" a="1"/>
  <c r="K675" i="1"/>
  <c r="K676" i="1" a="1"/>
  <c r="K676" i="1"/>
  <c r="K677" i="1" a="1"/>
  <c r="K677" i="1"/>
  <c r="K678" i="1" a="1"/>
  <c r="K678" i="1"/>
  <c r="K679" i="1" a="1"/>
  <c r="K679" i="1"/>
  <c r="K680" i="1" a="1"/>
  <c r="K680" i="1"/>
  <c r="K681" i="1" a="1"/>
  <c r="K681" i="1"/>
  <c r="K682" i="1" a="1"/>
  <c r="K682" i="1"/>
  <c r="K683" i="1" a="1"/>
  <c r="K683" i="1"/>
  <c r="K684" i="1" a="1"/>
  <c r="K684" i="1"/>
  <c r="K685" i="1" a="1"/>
  <c r="K685" i="1"/>
  <c r="K686" i="1" a="1"/>
  <c r="K686" i="1"/>
  <c r="K687" i="1" a="1"/>
  <c r="K687" i="1"/>
  <c r="K688" i="1" a="1"/>
  <c r="K688" i="1"/>
  <c r="K689" i="1" a="1"/>
  <c r="K689" i="1"/>
  <c r="K690" i="1" a="1"/>
  <c r="K690" i="1"/>
  <c r="K691" i="1" a="1"/>
  <c r="K691" i="1"/>
  <c r="K692" i="1" a="1"/>
  <c r="K692" i="1"/>
  <c r="K693" i="1" a="1"/>
  <c r="K693" i="1"/>
  <c r="K694" i="1" a="1"/>
  <c r="K694" i="1"/>
  <c r="K695" i="1" a="1"/>
  <c r="K695" i="1"/>
  <c r="K696" i="1" a="1"/>
  <c r="K696" i="1"/>
  <c r="K697" i="1" a="1"/>
  <c r="K697" i="1"/>
  <c r="K698" i="1" a="1"/>
  <c r="K698" i="1"/>
  <c r="K699" i="1" a="1"/>
  <c r="K699" i="1"/>
  <c r="K700" i="1" a="1"/>
  <c r="K700" i="1"/>
  <c r="K701" i="1" a="1"/>
  <c r="K701" i="1"/>
  <c r="K702" i="1" a="1"/>
  <c r="K702" i="1"/>
  <c r="K703" i="1" a="1"/>
  <c r="K703" i="1"/>
  <c r="K704" i="1" a="1"/>
  <c r="K704" i="1"/>
  <c r="K705" i="1" a="1"/>
  <c r="K705" i="1"/>
  <c r="K706" i="1" a="1"/>
  <c r="K706" i="1"/>
  <c r="K707" i="1" a="1"/>
  <c r="K707" i="1"/>
  <c r="K708" i="1" a="1"/>
  <c r="K708" i="1"/>
  <c r="K709" i="1" a="1"/>
  <c r="K709" i="1"/>
  <c r="K710" i="1" a="1"/>
  <c r="K710" i="1"/>
  <c r="K711" i="1" a="1"/>
  <c r="K711" i="1"/>
  <c r="K712" i="1" a="1"/>
  <c r="K712" i="1"/>
  <c r="K713" i="1" a="1"/>
  <c r="K713" i="1"/>
  <c r="K714" i="1" a="1"/>
  <c r="K714" i="1"/>
  <c r="K715" i="1" a="1"/>
  <c r="K715" i="1"/>
  <c r="K716" i="1" a="1"/>
  <c r="K716" i="1"/>
  <c r="K717" i="1" a="1"/>
  <c r="K717" i="1"/>
  <c r="K718" i="1" a="1"/>
  <c r="K718" i="1"/>
  <c r="K719" i="1" a="1"/>
  <c r="K719" i="1"/>
  <c r="K720" i="1" a="1"/>
  <c r="K720" i="1"/>
  <c r="K721" i="1" a="1"/>
  <c r="K721" i="1"/>
  <c r="K722" i="1" a="1"/>
  <c r="K722" i="1"/>
  <c r="K723" i="1" a="1"/>
  <c r="K723" i="1"/>
  <c r="K724" i="1" a="1"/>
  <c r="K724" i="1"/>
  <c r="K725" i="1" a="1"/>
  <c r="K725" i="1"/>
  <c r="K726" i="1" a="1"/>
  <c r="K726" i="1"/>
  <c r="K727" i="1" a="1"/>
  <c r="K727" i="1"/>
  <c r="K728" i="1" a="1"/>
  <c r="K728" i="1"/>
  <c r="K729" i="1" a="1"/>
  <c r="K729" i="1"/>
  <c r="K730" i="1" a="1"/>
  <c r="K730" i="1"/>
  <c r="K731" i="1" a="1"/>
  <c r="K731" i="1"/>
  <c r="K732" i="1" a="1"/>
  <c r="K732" i="1"/>
  <c r="K733" i="1" a="1"/>
  <c r="K733" i="1"/>
  <c r="K734" i="1" a="1"/>
  <c r="K734" i="1"/>
  <c r="K735" i="1" a="1"/>
  <c r="K735" i="1"/>
  <c r="K736" i="1" a="1"/>
  <c r="K736" i="1"/>
  <c r="K737" i="1" a="1"/>
  <c r="K737" i="1"/>
  <c r="K738" i="1" a="1"/>
  <c r="K738" i="1"/>
  <c r="K739" i="1" a="1"/>
  <c r="K739" i="1"/>
  <c r="K740" i="1" a="1"/>
  <c r="K740" i="1"/>
  <c r="K741" i="1" a="1"/>
  <c r="K741" i="1"/>
  <c r="K742" i="1" a="1"/>
  <c r="K742" i="1"/>
  <c r="K743" i="1" a="1"/>
  <c r="K743" i="1"/>
  <c r="K744" i="1" a="1"/>
  <c r="K744" i="1"/>
  <c r="K745" i="1" a="1"/>
  <c r="K745" i="1"/>
  <c r="K746" i="1" a="1"/>
  <c r="K746" i="1"/>
  <c r="K747" i="1" a="1"/>
  <c r="K747" i="1"/>
  <c r="K748" i="1" a="1"/>
  <c r="K748" i="1"/>
  <c r="K749" i="1" a="1"/>
  <c r="K749" i="1"/>
  <c r="K750" i="1" a="1"/>
  <c r="K750" i="1"/>
  <c r="K751" i="1" a="1"/>
  <c r="K751" i="1"/>
  <c r="K752" i="1" a="1"/>
  <c r="K752" i="1"/>
  <c r="K753" i="1" a="1"/>
  <c r="K753" i="1"/>
  <c r="K754" i="1" a="1"/>
  <c r="K754" i="1"/>
  <c r="K755" i="1" a="1"/>
  <c r="K755" i="1"/>
  <c r="K756" i="1" a="1"/>
  <c r="K756" i="1"/>
  <c r="K757" i="1" a="1"/>
  <c r="K757" i="1"/>
  <c r="K758" i="1" a="1"/>
  <c r="K758" i="1"/>
  <c r="K759" i="1" a="1"/>
  <c r="K759" i="1"/>
  <c r="K760" i="1" a="1"/>
  <c r="K760" i="1"/>
  <c r="K761" i="1" a="1"/>
  <c r="K761" i="1"/>
  <c r="K762" i="1" a="1"/>
  <c r="K762" i="1"/>
  <c r="K763" i="1" a="1"/>
  <c r="K763" i="1"/>
  <c r="K764" i="1" a="1"/>
  <c r="K764" i="1"/>
  <c r="K765" i="1" a="1"/>
  <c r="K765" i="1"/>
  <c r="K766" i="1" a="1"/>
  <c r="K766" i="1"/>
  <c r="K767" i="1" a="1"/>
  <c r="K767" i="1"/>
  <c r="K768" i="1" a="1"/>
  <c r="K768" i="1"/>
  <c r="K769" i="1" a="1"/>
  <c r="K769" i="1"/>
  <c r="K770" i="1" a="1"/>
  <c r="K770" i="1"/>
  <c r="K771" i="1" a="1"/>
  <c r="K771" i="1"/>
  <c r="K772" i="1" a="1"/>
  <c r="K772" i="1"/>
  <c r="K773" i="1" a="1"/>
  <c r="K773" i="1"/>
  <c r="K774" i="1" a="1"/>
  <c r="K774" i="1"/>
  <c r="K775" i="1" a="1"/>
  <c r="K775" i="1"/>
  <c r="K776" i="1" a="1"/>
  <c r="K776" i="1"/>
  <c r="K777" i="1" a="1"/>
  <c r="K777" i="1"/>
  <c r="K778" i="1" a="1"/>
  <c r="K778" i="1"/>
  <c r="K779" i="1" a="1"/>
  <c r="K779" i="1"/>
  <c r="K780" i="1" a="1"/>
  <c r="K780" i="1"/>
  <c r="K781" i="1" a="1"/>
  <c r="K781" i="1"/>
  <c r="K782" i="1" a="1"/>
  <c r="K782" i="1"/>
  <c r="K783" i="1" a="1"/>
  <c r="K783" i="1"/>
  <c r="K784" i="1" a="1"/>
  <c r="K784" i="1"/>
  <c r="K785" i="1" a="1"/>
  <c r="K785" i="1"/>
  <c r="K786" i="1" a="1"/>
  <c r="K786" i="1"/>
  <c r="K787" i="1" a="1"/>
  <c r="K787" i="1"/>
  <c r="K788" i="1" a="1"/>
  <c r="K788" i="1"/>
  <c r="K789" i="1" a="1"/>
  <c r="K789" i="1"/>
  <c r="K790" i="1" a="1"/>
  <c r="K790" i="1"/>
  <c r="K791" i="1" a="1"/>
  <c r="K791" i="1"/>
  <c r="K792" i="1" a="1"/>
  <c r="K792" i="1"/>
  <c r="K793" i="1" a="1"/>
  <c r="K793" i="1"/>
  <c r="K794" i="1" a="1"/>
  <c r="K794" i="1"/>
  <c r="K795" i="1" a="1"/>
  <c r="K795" i="1"/>
  <c r="K796" i="1" a="1"/>
  <c r="K796" i="1"/>
  <c r="K797" i="1" a="1"/>
  <c r="K797" i="1"/>
  <c r="K798" i="1" a="1"/>
  <c r="K798" i="1"/>
  <c r="K799" i="1" a="1"/>
  <c r="K799" i="1"/>
  <c r="K800" i="1" a="1"/>
  <c r="K800" i="1"/>
  <c r="K801" i="1" a="1"/>
  <c r="K801" i="1"/>
  <c r="K802" i="1" a="1"/>
  <c r="K802" i="1"/>
  <c r="K803" i="1" a="1"/>
  <c r="K803" i="1"/>
  <c r="K804" i="1" a="1"/>
  <c r="K804" i="1"/>
  <c r="K805" i="1" a="1"/>
  <c r="K805" i="1"/>
  <c r="K806" i="1" a="1"/>
  <c r="K806" i="1"/>
  <c r="K807" i="1" a="1"/>
  <c r="K807" i="1"/>
  <c r="K808" i="1" a="1"/>
  <c r="K808" i="1"/>
  <c r="K809" i="1" a="1"/>
  <c r="K809" i="1"/>
  <c r="K810" i="1" a="1"/>
  <c r="K810" i="1"/>
  <c r="K811" i="1" a="1"/>
  <c r="K811" i="1"/>
  <c r="K812" i="1" a="1"/>
  <c r="K812" i="1"/>
  <c r="K813" i="1" a="1"/>
  <c r="K813" i="1"/>
  <c r="K814" i="1" a="1"/>
  <c r="K814" i="1"/>
  <c r="K815" i="1" a="1"/>
  <c r="K815" i="1"/>
  <c r="K816" i="1" a="1"/>
  <c r="K816" i="1"/>
  <c r="K817" i="1" a="1"/>
  <c r="K817" i="1"/>
  <c r="K818" i="1" a="1"/>
  <c r="K818" i="1"/>
  <c r="K819" i="1" a="1"/>
  <c r="K819" i="1"/>
  <c r="K820" i="1" a="1"/>
  <c r="K820" i="1"/>
  <c r="K821" i="1" a="1"/>
  <c r="K821" i="1"/>
  <c r="K822" i="1" a="1"/>
  <c r="K822" i="1"/>
  <c r="K823" i="1" a="1"/>
  <c r="K823" i="1"/>
  <c r="K824" i="1" a="1"/>
  <c r="K824" i="1"/>
  <c r="K825" i="1" a="1"/>
  <c r="K825" i="1"/>
  <c r="K826" i="1" a="1"/>
  <c r="K826" i="1"/>
  <c r="K827" i="1" a="1"/>
  <c r="K827" i="1"/>
  <c r="K828" i="1" a="1"/>
  <c r="K828" i="1"/>
  <c r="K829" i="1" a="1"/>
  <c r="K829" i="1"/>
  <c r="K830" i="1" a="1"/>
  <c r="K830" i="1"/>
  <c r="K831" i="1" a="1"/>
  <c r="K831" i="1"/>
  <c r="K832" i="1" a="1"/>
  <c r="K832" i="1"/>
  <c r="K833" i="1" a="1"/>
  <c r="K833" i="1"/>
  <c r="K834" i="1" a="1"/>
  <c r="K834" i="1"/>
  <c r="K835" i="1" a="1"/>
  <c r="K835" i="1"/>
  <c r="K836" i="1" a="1"/>
  <c r="K836" i="1"/>
  <c r="K837" i="1" a="1"/>
  <c r="K837" i="1"/>
  <c r="K838" i="1" a="1"/>
  <c r="K838" i="1"/>
  <c r="K839" i="1" a="1"/>
  <c r="K839" i="1"/>
  <c r="K840" i="1" a="1"/>
  <c r="K840" i="1"/>
  <c r="K841" i="1" a="1"/>
  <c r="K841" i="1"/>
  <c r="K842" i="1" a="1"/>
  <c r="K842" i="1"/>
  <c r="K843" i="1" a="1"/>
  <c r="K843" i="1"/>
  <c r="K844" i="1" a="1"/>
  <c r="K844" i="1"/>
  <c r="K845" i="1" a="1"/>
  <c r="K845" i="1"/>
  <c r="K846" i="1" a="1"/>
  <c r="K846" i="1"/>
  <c r="K847" i="1" a="1"/>
  <c r="K847" i="1"/>
  <c r="K848" i="1" a="1"/>
  <c r="K848" i="1"/>
  <c r="K849" i="1" a="1"/>
  <c r="K849" i="1"/>
  <c r="K850" i="1" a="1"/>
  <c r="K850" i="1"/>
  <c r="K851" i="1" a="1"/>
  <c r="K851" i="1"/>
  <c r="K852" i="1" a="1"/>
  <c r="K852" i="1"/>
  <c r="K853" i="1" a="1"/>
  <c r="K853" i="1"/>
  <c r="K854" i="1" a="1"/>
  <c r="K854" i="1"/>
  <c r="K855" i="1" a="1"/>
  <c r="K855" i="1"/>
  <c r="K856" i="1" a="1"/>
  <c r="K856" i="1"/>
  <c r="K857" i="1" a="1"/>
  <c r="K857" i="1"/>
  <c r="K858" i="1" a="1"/>
  <c r="K858" i="1"/>
  <c r="K859" i="1" a="1"/>
  <c r="K859" i="1"/>
  <c r="K860" i="1" a="1"/>
  <c r="K860" i="1"/>
  <c r="K861" i="1" a="1"/>
  <c r="K861" i="1"/>
  <c r="K862" i="1" a="1"/>
  <c r="K862" i="1"/>
  <c r="K863" i="1" a="1"/>
  <c r="K863" i="1"/>
  <c r="K864" i="1" a="1"/>
  <c r="K864" i="1"/>
  <c r="K865" i="1" a="1"/>
  <c r="K865" i="1"/>
  <c r="K866" i="1" a="1"/>
  <c r="K866" i="1"/>
  <c r="K867" i="1" a="1"/>
  <c r="K867" i="1"/>
  <c r="K868" i="1" a="1"/>
  <c r="K868" i="1"/>
  <c r="K869" i="1" a="1"/>
  <c r="K869" i="1"/>
  <c r="K870" i="1" a="1"/>
  <c r="K870" i="1"/>
  <c r="K871" i="1" a="1"/>
  <c r="K871" i="1"/>
  <c r="K872" i="1" a="1"/>
  <c r="K872" i="1"/>
  <c r="K873" i="1" a="1"/>
  <c r="K873" i="1"/>
  <c r="K874" i="1" a="1"/>
  <c r="K874" i="1"/>
  <c r="K875" i="1" a="1"/>
  <c r="K875" i="1"/>
  <c r="K876" i="1" a="1"/>
  <c r="K876" i="1"/>
  <c r="K877" i="1" a="1"/>
  <c r="K877" i="1"/>
  <c r="K878" i="1" a="1"/>
  <c r="K878" i="1"/>
  <c r="K879" i="1" a="1"/>
  <c r="K879" i="1"/>
  <c r="K880" i="1" a="1"/>
  <c r="K880" i="1"/>
  <c r="K881" i="1" a="1"/>
  <c r="K881" i="1"/>
  <c r="K882" i="1" a="1"/>
  <c r="K882" i="1"/>
  <c r="K883" i="1" a="1"/>
  <c r="K883" i="1"/>
  <c r="K884" i="1" a="1"/>
  <c r="K884" i="1"/>
  <c r="K885" i="1" a="1"/>
  <c r="K885" i="1"/>
  <c r="K886" i="1" a="1"/>
  <c r="K886" i="1"/>
  <c r="K887" i="1" a="1"/>
  <c r="K887" i="1"/>
  <c r="K888" i="1" a="1"/>
  <c r="K888" i="1"/>
  <c r="K889" i="1" a="1"/>
  <c r="K889" i="1"/>
  <c r="K890" i="1" a="1"/>
  <c r="K890" i="1"/>
  <c r="K891" i="1" a="1"/>
  <c r="K891" i="1"/>
  <c r="K892" i="1" a="1"/>
  <c r="K892" i="1"/>
  <c r="K893" i="1" a="1"/>
  <c r="K893" i="1"/>
  <c r="K894" i="1" a="1"/>
  <c r="K894" i="1"/>
  <c r="K895" i="1" a="1"/>
  <c r="K895" i="1"/>
  <c r="K896" i="1" a="1"/>
  <c r="K896" i="1"/>
  <c r="K897" i="1" a="1"/>
  <c r="K897" i="1"/>
  <c r="K898" i="1" a="1"/>
  <c r="K898" i="1"/>
  <c r="K899" i="1" a="1"/>
  <c r="K899" i="1"/>
  <c r="K900" i="1" a="1"/>
  <c r="K900" i="1"/>
  <c r="K901" i="1" a="1"/>
  <c r="K901" i="1"/>
  <c r="K902" i="1" a="1"/>
  <c r="K902" i="1"/>
  <c r="K903" i="1" a="1"/>
  <c r="K903" i="1"/>
  <c r="K904" i="1" a="1"/>
  <c r="K904" i="1"/>
  <c r="K905" i="1" a="1"/>
  <c r="K905" i="1"/>
  <c r="K906" i="1" a="1"/>
  <c r="K906" i="1"/>
  <c r="K907" i="1" a="1"/>
  <c r="K907" i="1"/>
  <c r="K908" i="1" a="1"/>
  <c r="K908" i="1"/>
  <c r="K909" i="1" a="1"/>
  <c r="K909" i="1"/>
  <c r="K910" i="1" a="1"/>
  <c r="K910" i="1"/>
  <c r="K911" i="1" a="1"/>
  <c r="K911" i="1"/>
  <c r="K912" i="1" a="1"/>
  <c r="K912" i="1"/>
  <c r="K913" i="1" a="1"/>
  <c r="K913" i="1"/>
  <c r="K914" i="1" a="1"/>
  <c r="K914" i="1"/>
  <c r="K915" i="1" a="1"/>
  <c r="K915" i="1"/>
  <c r="K916" i="1" a="1"/>
  <c r="K916" i="1"/>
  <c r="K917" i="1" a="1"/>
  <c r="K917" i="1"/>
  <c r="K918" i="1" a="1"/>
  <c r="K918" i="1"/>
  <c r="K919" i="1" a="1"/>
  <c r="K919" i="1"/>
  <c r="K920" i="1" a="1"/>
  <c r="K920" i="1"/>
  <c r="K921" i="1" a="1"/>
  <c r="K921" i="1"/>
  <c r="K922" i="1" a="1"/>
  <c r="K922" i="1"/>
  <c r="K923" i="1" a="1"/>
  <c r="K923" i="1"/>
  <c r="K924" i="1" a="1"/>
  <c r="K924" i="1"/>
  <c r="K925" i="1" a="1"/>
  <c r="K925" i="1"/>
  <c r="K926" i="1" a="1"/>
  <c r="K926" i="1"/>
  <c r="K927" i="1" a="1"/>
  <c r="K927" i="1"/>
  <c r="K928" i="1" a="1"/>
  <c r="K928" i="1"/>
  <c r="K929" i="1" a="1"/>
  <c r="K929" i="1"/>
  <c r="K930" i="1" a="1"/>
  <c r="K930" i="1"/>
  <c r="K931" i="1" a="1"/>
  <c r="K931" i="1"/>
  <c r="K932" i="1" a="1"/>
  <c r="K932" i="1"/>
  <c r="K933" i="1" a="1"/>
  <c r="K933" i="1"/>
  <c r="K934" i="1" a="1"/>
  <c r="K934" i="1"/>
  <c r="K935" i="1" a="1"/>
  <c r="K935" i="1"/>
  <c r="K936" i="1" a="1"/>
  <c r="K936" i="1"/>
  <c r="K937" i="1" a="1"/>
  <c r="K937" i="1"/>
  <c r="K938" i="1" a="1"/>
  <c r="K938" i="1"/>
  <c r="K939" i="1" a="1"/>
  <c r="K939" i="1"/>
  <c r="K940" i="1" a="1"/>
  <c r="K940" i="1"/>
  <c r="K941" i="1" a="1"/>
  <c r="K941" i="1"/>
  <c r="K942" i="1" a="1"/>
  <c r="K942" i="1"/>
  <c r="K943" i="1" a="1"/>
  <c r="K943" i="1"/>
  <c r="K944" i="1" a="1"/>
  <c r="K944" i="1"/>
  <c r="K945" i="1" a="1"/>
  <c r="K945" i="1"/>
  <c r="K946" i="1" a="1"/>
  <c r="K946" i="1"/>
  <c r="K947" i="1" a="1"/>
  <c r="K947" i="1"/>
  <c r="K948" i="1" a="1"/>
  <c r="K948" i="1"/>
  <c r="K949" i="1" a="1"/>
  <c r="K949" i="1"/>
  <c r="K950" i="1" a="1"/>
  <c r="K950" i="1"/>
  <c r="K951" i="1" a="1"/>
  <c r="K951" i="1"/>
  <c r="K952" i="1" a="1"/>
  <c r="K952" i="1"/>
  <c r="K953" i="1" a="1"/>
  <c r="K953" i="1"/>
  <c r="K954" i="1" a="1"/>
  <c r="K954" i="1"/>
  <c r="K955" i="1" a="1"/>
  <c r="K955" i="1"/>
  <c r="K956" i="1" a="1"/>
  <c r="K956" i="1"/>
  <c r="K957" i="1" a="1"/>
  <c r="K957" i="1"/>
  <c r="K958" i="1" a="1"/>
  <c r="K958" i="1"/>
  <c r="K959" i="1" a="1"/>
  <c r="K959" i="1"/>
  <c r="K960" i="1" a="1"/>
  <c r="K960" i="1"/>
  <c r="K961" i="1" a="1"/>
  <c r="K961" i="1"/>
  <c r="K962" i="1" a="1"/>
  <c r="K962" i="1"/>
  <c r="K963" i="1" a="1"/>
  <c r="K963" i="1"/>
  <c r="K964" i="1" a="1"/>
  <c r="K964" i="1"/>
  <c r="K965" i="1" a="1"/>
  <c r="K965" i="1"/>
  <c r="K966" i="1" a="1"/>
  <c r="K966" i="1"/>
  <c r="K967" i="1" a="1"/>
  <c r="K967" i="1"/>
  <c r="K968" i="1" a="1"/>
  <c r="K968" i="1"/>
  <c r="K969" i="1" a="1"/>
  <c r="K969" i="1"/>
  <c r="K970" i="1" a="1"/>
  <c r="K970" i="1"/>
  <c r="K971" i="1" a="1"/>
  <c r="K971" i="1"/>
  <c r="K972" i="1" a="1"/>
  <c r="K972" i="1"/>
  <c r="K973" i="1" a="1"/>
  <c r="K973" i="1"/>
  <c r="K974" i="1" a="1"/>
  <c r="K974" i="1"/>
  <c r="K975" i="1" a="1"/>
  <c r="K975" i="1"/>
  <c r="K976" i="1" a="1"/>
  <c r="K976" i="1"/>
  <c r="K977" i="1" a="1"/>
  <c r="K977" i="1"/>
  <c r="K978" i="1" a="1"/>
  <c r="K978" i="1"/>
  <c r="K979" i="1" a="1"/>
  <c r="K979" i="1"/>
  <c r="K980" i="1" a="1"/>
  <c r="K980" i="1"/>
  <c r="K981" i="1" a="1"/>
  <c r="K981" i="1"/>
  <c r="K982" i="1" a="1"/>
  <c r="K982" i="1"/>
  <c r="K983" i="1" a="1"/>
  <c r="K983" i="1"/>
  <c r="K984" i="1" a="1"/>
  <c r="K984" i="1"/>
  <c r="K985" i="1" a="1"/>
  <c r="K985" i="1"/>
  <c r="K986" i="1" a="1"/>
  <c r="K986" i="1"/>
  <c r="K987" i="1" a="1"/>
  <c r="K987" i="1"/>
  <c r="K988" i="1" a="1"/>
  <c r="K988" i="1"/>
  <c r="K989" i="1" a="1"/>
  <c r="K989" i="1"/>
  <c r="K990" i="1" a="1"/>
  <c r="K990" i="1"/>
  <c r="K991" i="1" a="1"/>
  <c r="K991" i="1"/>
  <c r="K992" i="1" a="1"/>
  <c r="K992" i="1"/>
  <c r="K993" i="1" a="1"/>
  <c r="K993" i="1"/>
  <c r="K994" i="1" a="1"/>
  <c r="K994" i="1"/>
  <c r="K995" i="1" a="1"/>
  <c r="K995" i="1"/>
  <c r="K996" i="1" a="1"/>
  <c r="K996" i="1"/>
  <c r="K997" i="1" a="1"/>
  <c r="K997" i="1"/>
  <c r="K998" i="1" a="1"/>
  <c r="K998" i="1"/>
  <c r="K999" i="1" a="1"/>
  <c r="K999" i="1"/>
  <c r="K1000" i="1" a="1"/>
  <c r="K1000" i="1"/>
  <c r="K1001" i="1" a="1"/>
  <c r="K1001" i="1"/>
  <c r="K2" i="1" a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D2" i="1"/>
  <c r="U12" i="1"/>
  <c r="T12" i="1"/>
  <c r="U11" i="1"/>
  <c r="T11" i="1"/>
  <c r="U10" i="1"/>
  <c r="U9" i="1" s="1"/>
  <c r="T10" i="1"/>
  <c r="T9" i="1" s="1"/>
  <c r="R14" i="1" a="1"/>
  <c r="R14" i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P529" i="1" s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P574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P684" i="1" s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5" i="1"/>
  <c r="P715" i="1" s="1"/>
  <c r="O716" i="1"/>
  <c r="P716" i="1" s="1"/>
  <c r="O717" i="1"/>
  <c r="P717" i="1" s="1"/>
  <c r="O718" i="1"/>
  <c r="P718" i="1" s="1"/>
  <c r="O719" i="1"/>
  <c r="P719" i="1" s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P730" i="1" s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79" i="1"/>
  <c r="P779" i="1" s="1"/>
  <c r="O780" i="1"/>
  <c r="P780" i="1" s="1"/>
  <c r="O781" i="1"/>
  <c r="P781" i="1" s="1"/>
  <c r="O782" i="1"/>
  <c r="P782" i="1" s="1"/>
  <c r="O783" i="1"/>
  <c r="P783" i="1" s="1"/>
  <c r="O784" i="1"/>
  <c r="P784" i="1" s="1"/>
  <c r="O785" i="1"/>
  <c r="P785" i="1" s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11" i="1"/>
  <c r="P811" i="1" s="1"/>
  <c r="O812" i="1"/>
  <c r="P812" i="1" s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O819" i="1"/>
  <c r="P819" i="1" s="1"/>
  <c r="O820" i="1"/>
  <c r="P820" i="1" s="1"/>
  <c r="O821" i="1"/>
  <c r="P821" i="1" s="1"/>
  <c r="O822" i="1"/>
  <c r="P822" i="1" s="1"/>
  <c r="O823" i="1"/>
  <c r="P823" i="1" s="1"/>
  <c r="O824" i="1"/>
  <c r="P824" i="1" s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P830" i="1" s="1"/>
  <c r="O831" i="1"/>
  <c r="P831" i="1" s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P843" i="1" s="1"/>
  <c r="O844" i="1"/>
  <c r="P844" i="1" s="1"/>
  <c r="O845" i="1"/>
  <c r="P845" i="1" s="1"/>
  <c r="O846" i="1"/>
  <c r="P846" i="1" s="1"/>
  <c r="O847" i="1"/>
  <c r="P847" i="1" s="1"/>
  <c r="O848" i="1"/>
  <c r="P848" i="1" s="1"/>
  <c r="O849" i="1"/>
  <c r="P849" i="1" s="1"/>
  <c r="O850" i="1"/>
  <c r="P850" i="1" s="1"/>
  <c r="O851" i="1"/>
  <c r="P851" i="1" s="1"/>
  <c r="O852" i="1"/>
  <c r="P852" i="1" s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P866" i="1" s="1"/>
  <c r="O867" i="1"/>
  <c r="P867" i="1" s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P885" i="1" s="1"/>
  <c r="O886" i="1"/>
  <c r="P886" i="1" s="1"/>
  <c r="O887" i="1"/>
  <c r="P887" i="1" s="1"/>
  <c r="O888" i="1"/>
  <c r="P888" i="1" s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P894" i="1" s="1"/>
  <c r="O895" i="1"/>
  <c r="P895" i="1" s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P903" i="1" s="1"/>
  <c r="O904" i="1"/>
  <c r="P904" i="1" s="1"/>
  <c r="O905" i="1"/>
  <c r="P905" i="1" s="1"/>
  <c r="O906" i="1"/>
  <c r="P906" i="1" s="1"/>
  <c r="O907" i="1"/>
  <c r="P907" i="1" s="1"/>
  <c r="O908" i="1"/>
  <c r="P908" i="1" s="1"/>
  <c r="O909" i="1"/>
  <c r="P909" i="1" s="1"/>
  <c r="O910" i="1"/>
  <c r="P910" i="1" s="1"/>
  <c r="O911" i="1"/>
  <c r="P911" i="1" s="1"/>
  <c r="O912" i="1"/>
  <c r="P912" i="1" s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27" i="1"/>
  <c r="P927" i="1" s="1"/>
  <c r="O928" i="1"/>
  <c r="P928" i="1" s="1"/>
  <c r="O929" i="1"/>
  <c r="P929" i="1" s="1"/>
  <c r="O930" i="1"/>
  <c r="P930" i="1" s="1"/>
  <c r="O931" i="1"/>
  <c r="P931" i="1" s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P938" i="1" s="1"/>
  <c r="O939" i="1"/>
  <c r="P939" i="1" s="1"/>
  <c r="O940" i="1"/>
  <c r="P940" i="1" s="1"/>
  <c r="O941" i="1"/>
  <c r="P941" i="1" s="1"/>
  <c r="O942" i="1"/>
  <c r="P942" i="1" s="1"/>
  <c r="O943" i="1"/>
  <c r="P943" i="1" s="1"/>
  <c r="O944" i="1"/>
  <c r="P944" i="1" s="1"/>
  <c r="O945" i="1"/>
  <c r="P945" i="1" s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54" i="1"/>
  <c r="P954" i="1" s="1"/>
  <c r="O955" i="1"/>
  <c r="P955" i="1" s="1"/>
  <c r="O956" i="1"/>
  <c r="P956" i="1" s="1"/>
  <c r="O957" i="1"/>
  <c r="P957" i="1" s="1"/>
  <c r="O958" i="1"/>
  <c r="P958" i="1" s="1"/>
  <c r="O959" i="1"/>
  <c r="P959" i="1" s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P967" i="1" s="1"/>
  <c r="O968" i="1"/>
  <c r="P968" i="1" s="1"/>
  <c r="O969" i="1"/>
  <c r="P969" i="1" s="1"/>
  <c r="O970" i="1"/>
  <c r="P970" i="1" s="1"/>
  <c r="O971" i="1"/>
  <c r="P971" i="1" s="1"/>
  <c r="O972" i="1"/>
  <c r="P972" i="1" s="1"/>
  <c r="O973" i="1"/>
  <c r="P973" i="1" s="1"/>
  <c r="O974" i="1"/>
  <c r="P974" i="1" s="1"/>
  <c r="O975" i="1"/>
  <c r="P975" i="1" s="1"/>
  <c r="O976" i="1"/>
  <c r="P976" i="1" s="1"/>
  <c r="O977" i="1"/>
  <c r="P977" i="1" s="1"/>
  <c r="O978" i="1"/>
  <c r="P978" i="1" s="1"/>
  <c r="O979" i="1"/>
  <c r="P979" i="1" s="1"/>
  <c r="O980" i="1"/>
  <c r="P980" i="1" s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P986" i="1" s="1"/>
  <c r="O987" i="1"/>
  <c r="P987" i="1" s="1"/>
  <c r="O988" i="1"/>
  <c r="P988" i="1" s="1"/>
  <c r="O989" i="1"/>
  <c r="P989" i="1" s="1"/>
  <c r="O990" i="1"/>
  <c r="P990" i="1" s="1"/>
  <c r="O991" i="1"/>
  <c r="P991" i="1" s="1"/>
  <c r="O992" i="1"/>
  <c r="P992" i="1" s="1"/>
  <c r="O993" i="1"/>
  <c r="P993" i="1" s="1"/>
  <c r="O994" i="1"/>
  <c r="P994" i="1" s="1"/>
  <c r="O995" i="1"/>
  <c r="P995" i="1" s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O3" i="1"/>
  <c r="O4" i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O27" i="1"/>
  <c r="P27" i="1" s="1"/>
  <c r="O28" i="1"/>
  <c r="P28" i="1" s="1"/>
  <c r="O29" i="1"/>
  <c r="P29" i="1" s="1"/>
  <c r="O30" i="1"/>
  <c r="P30" i="1" s="1"/>
  <c r="O31" i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O56" i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O69" i="1"/>
  <c r="P69" i="1" s="1"/>
  <c r="O70" i="1"/>
  <c r="P70" i="1" s="1"/>
  <c r="O71" i="1"/>
  <c r="P71" i="1" s="1"/>
  <c r="O2" i="1"/>
  <c r="P68" i="1" l="1"/>
  <c r="B8" i="2"/>
  <c r="D8" i="2" s="1"/>
  <c r="P56" i="1"/>
  <c r="B7" i="2"/>
  <c r="D7" i="2" s="1"/>
  <c r="P55" i="1"/>
  <c r="B6" i="2"/>
  <c r="D6" i="2" s="1"/>
  <c r="P31" i="1"/>
  <c r="B5" i="2"/>
  <c r="D5" i="2" s="1"/>
  <c r="P26" i="1"/>
  <c r="B4" i="2"/>
  <c r="D4" i="2" s="1"/>
  <c r="P16" i="1"/>
  <c r="B3" i="2"/>
  <c r="D3" i="2" s="1"/>
  <c r="P11" i="1"/>
  <c r="B2" i="2"/>
  <c r="P101" i="1"/>
  <c r="B10" i="2"/>
  <c r="D10" i="2" s="1"/>
  <c r="P90" i="1"/>
  <c r="B9" i="2"/>
  <c r="D9" i="2" s="1"/>
  <c r="P2" i="1"/>
  <c r="V11" i="1"/>
  <c r="V9" i="1"/>
  <c r="S11" i="1"/>
  <c r="S9" i="1"/>
  <c r="P4" i="1"/>
  <c r="V12" i="1"/>
  <c r="S12" i="1"/>
  <c r="P3" i="1"/>
  <c r="V10" i="1"/>
  <c r="S10" i="1"/>
  <c r="B12" i="2" l="1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<sst xmlns="http://schemas.openxmlformats.org/spreadsheetml/2006/main" count="3087" uniqueCount="1040">
  <si>
    <t>Transaction ID</t>
  </si>
  <si>
    <t>Year</t>
  </si>
  <si>
    <t>Month</t>
  </si>
  <si>
    <t>Day</t>
  </si>
  <si>
    <t>Day Name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</si>
  <si>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</si>
  <si>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</si>
  <si>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</si>
  <si>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</si>
  <si>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</si>
  <si>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</si>
  <si>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</si>
  <si>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</si>
  <si>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Total Sales</t>
  </si>
  <si>
    <t>Commision 2023</t>
  </si>
  <si>
    <t>CUST001</t>
  </si>
  <si>
    <t>Male</t>
  </si>
  <si>
    <t>Beauty</t>
  </si>
  <si>
    <t>Rate %</t>
  </si>
  <si>
    <t>CUST002</t>
  </si>
  <si>
    <t>Female</t>
  </si>
  <si>
    <t>Clothing</t>
  </si>
  <si>
    <t>commision rate 2023</t>
  </si>
  <si>
    <t>CUST003</t>
  </si>
  <si>
    <t>Electronics</t>
  </si>
  <si>
    <t>commision rate 2024</t>
  </si>
  <si>
    <t>CUST004</t>
  </si>
  <si>
    <t>CUST005</t>
  </si>
  <si>
    <t>CUST006</t>
  </si>
  <si>
    <t>CUST007</t>
  </si>
  <si>
    <t>Total</t>
  </si>
  <si>
    <t>Average sales</t>
  </si>
  <si>
    <t>CUST008</t>
  </si>
  <si>
    <t>all products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</si>
  <si>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</si>
  <si>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</si>
  <si>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</si>
  <si>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</si>
  <si>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</si>
  <si>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</si>
  <si>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</si>
  <si>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</si>
  <si>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</si>
  <si>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Commision Total</t>
  </si>
  <si>
    <t>CUST018</t>
  </si>
  <si>
    <t>Commision Average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</si>
  <si>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</si>
  <si>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</si>
  <si>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</si>
  <si>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</si>
  <si>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</si>
  <si>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</si>
  <si>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</si>
  <si>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</si>
  <si>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</si>
  <si>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</si>
  <si>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</si>
  <si>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</si>
  <si>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</si>
  <si>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</si>
  <si>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</si>
  <si>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</si>
  <si>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</si>
  <si>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</si>
  <si>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</si>
  <si>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</si>
  <si>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</si>
  <si>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</si>
  <si>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</si>
  <si>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</si>
  <si>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</si>
  <si>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</si>
  <si>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</si>
  <si>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</si>
  <si>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</si>
  <si>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</si>
  <si>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</si>
  <si>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</si>
  <si>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</si>
  <si>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</si>
  <si>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</si>
  <si>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</si>
  <si>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</si>
  <si>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</si>
  <si>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</si>
  <si>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</si>
  <si>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</si>
  <si>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</si>
  <si>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</si>
  <si>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</si>
  <si>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</si>
  <si>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</si>
  <si>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</si>
  <si>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</si>
  <si>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</si>
  <si>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</si>
  <si>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</si>
  <si>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</si>
  <si>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</si>
  <si>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</si>
  <si>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</si>
  <si>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</si>
  <si>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</si>
  <si>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</si>
  <si>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</si>
  <si>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</si>
  <si>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</si>
  <si>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</si>
  <si>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</si>
  <si>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</si>
  <si>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</si>
  <si>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</si>
  <si>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</si>
  <si>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</si>
  <si>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</si>
  <si>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</si>
  <si>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</si>
  <si>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</si>
  <si>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</si>
  <si>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</si>
  <si>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</si>
  <si>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</si>
  <si>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</si>
  <si>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</si>
  <si>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</si>
  <si>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</si>
  <si>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</si>
  <si>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</si>
  <si>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</si>
  <si>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</si>
  <si>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</si>
  <si>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</si>
  <si>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</si>
  <si>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</si>
  <si>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</si>
  <si>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</si>
  <si>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</si>
  <si>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</si>
  <si>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</si>
  <si>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</si>
  <si>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</si>
  <si>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</si>
  <si>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</si>
  <si>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</si>
  <si>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</si>
  <si>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</si>
  <si>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</si>
  <si>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</si>
  <si>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</si>
  <si>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</si>
  <si>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</si>
  <si>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</si>
  <si>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</si>
  <si>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</si>
  <si>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</si>
  <si>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</si>
  <si>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</si>
  <si>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</si>
  <si>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</si>
  <si>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</si>
  <si>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</si>
  <si>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</si>
  <si>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</si>
  <si>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</si>
  <si>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</si>
  <si>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</si>
  <si>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</si>
  <si>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</si>
  <si>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</si>
  <si>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</si>
  <si>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</si>
  <si>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</si>
  <si>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</si>
  <si>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</si>
  <si>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</si>
  <si>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</si>
  <si>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</si>
  <si>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</si>
  <si>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</si>
  <si>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</si>
  <si>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</si>
  <si>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</si>
  <si>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</si>
  <si>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</si>
  <si>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</si>
  <si>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</si>
  <si>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</si>
  <si>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</si>
  <si>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</si>
  <si>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</si>
  <si>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</si>
  <si>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</si>
  <si>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</si>
  <si>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</si>
  <si>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</si>
  <si>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</si>
  <si>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</si>
  <si>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</si>
  <si>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</si>
  <si>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</si>
  <si>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</si>
  <si>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</si>
  <si>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</si>
  <si>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</si>
  <si>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</si>
  <si>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</si>
  <si>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</si>
  <si>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</si>
  <si>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</si>
  <si>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</si>
  <si>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</si>
  <si>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</si>
  <si>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</si>
  <si>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</si>
  <si>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</si>
  <si>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</si>
  <si>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</si>
  <si>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</si>
  <si>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</si>
  <si>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</si>
  <si>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</si>
  <si>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</si>
  <si>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</si>
  <si>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</si>
  <si>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</si>
  <si>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</si>
  <si>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</si>
  <si>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</si>
  <si>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</si>
  <si>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</si>
  <si>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</si>
  <si>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</si>
  <si>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</si>
  <si>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</si>
  <si>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</si>
  <si>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</si>
  <si>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</si>
  <si>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</si>
  <si>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</si>
  <si>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</si>
  <si>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</si>
  <si>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</si>
  <si>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</si>
  <si>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</si>
  <si>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</si>
  <si>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</si>
  <si>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</si>
  <si>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</si>
  <si>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</si>
  <si>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</si>
  <si>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</si>
  <si>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</si>
  <si>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</si>
  <si>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</si>
  <si>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</si>
  <si>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</si>
  <si>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</si>
  <si>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</si>
  <si>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</si>
  <si>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</si>
  <si>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</si>
  <si>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</si>
  <si>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</si>
  <si>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</si>
  <si>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</si>
  <si>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</si>
  <si>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</si>
  <si>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</si>
  <si>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</si>
  <si>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</si>
  <si>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</si>
  <si>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</si>
  <si>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</si>
  <si>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</si>
  <si>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</si>
  <si>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</si>
  <si>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</si>
  <si>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</si>
  <si>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</si>
  <si>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</si>
  <si>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</si>
  <si>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</si>
  <si>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</si>
  <si>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</si>
  <si>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</si>
  <si>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</si>
  <si>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</si>
  <si>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</si>
  <si>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</si>
  <si>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</si>
  <si>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</si>
  <si>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</si>
  <si>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</si>
  <si>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</si>
  <si>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</si>
  <si>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</si>
  <si>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</si>
  <si>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</si>
  <si>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</si>
  <si>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</si>
  <si>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</si>
  <si>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</si>
  <si>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</si>
  <si>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</si>
  <si>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</si>
  <si>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</si>
  <si>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</si>
  <si>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</si>
  <si>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</si>
  <si>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</si>
  <si>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</si>
  <si>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</si>
  <si>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</si>
  <si>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</si>
  <si>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</si>
  <si>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</si>
  <si>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</si>
  <si>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</si>
  <si>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</si>
  <si>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</si>
  <si>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</si>
  <si>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</si>
  <si>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</si>
  <si>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</si>
  <si>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</si>
  <si>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</si>
  <si>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</si>
  <si>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</si>
  <si>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</si>
  <si>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</si>
  <si>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</si>
  <si>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</si>
  <si>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</si>
  <si>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</si>
  <si>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</si>
  <si>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</si>
  <si>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</si>
  <si>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</si>
  <si>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</si>
  <si>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</si>
  <si>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</si>
  <si>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</si>
  <si>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</si>
  <si>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</si>
  <si>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</si>
  <si>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</si>
  <si>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</si>
  <si>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</si>
  <si>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</si>
  <si>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</si>
  <si>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</si>
  <si>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</si>
  <si>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</si>
  <si>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</si>
  <si>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</si>
  <si>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</si>
  <si>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</si>
  <si>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</si>
  <si>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</si>
  <si>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</si>
  <si>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</si>
  <si>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</si>
  <si>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</si>
  <si>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</si>
  <si>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</si>
  <si>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</si>
  <si>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</si>
  <si>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</si>
  <si>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</si>
  <si>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</si>
  <si>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</si>
  <si>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</si>
  <si>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</si>
  <si>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</si>
  <si>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</si>
  <si>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</si>
  <si>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</si>
  <si>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</si>
  <si>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</si>
  <si>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</si>
  <si>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</si>
  <si>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</si>
  <si>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</si>
  <si>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</si>
  <si>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</si>
  <si>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</si>
  <si>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</si>
  <si>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</si>
  <si>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</si>
  <si>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</si>
  <si>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</si>
  <si>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</si>
  <si>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</si>
  <si>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</si>
  <si>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</si>
  <si>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</si>
  <si>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</si>
  <si>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</si>
  <si>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</si>
  <si>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</si>
  <si>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</si>
  <si>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</si>
  <si>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</si>
  <si>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</si>
  <si>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</si>
  <si>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</si>
  <si>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</si>
  <si>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</si>
  <si>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</si>
  <si>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</si>
  <si>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</si>
  <si>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</si>
  <si>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</si>
  <si>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</si>
  <si>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</si>
  <si>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</si>
  <si>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</si>
  <si>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</si>
  <si>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</si>
  <si>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</si>
  <si>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</si>
  <si>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</si>
  <si>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</si>
  <si>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</si>
  <si>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</si>
  <si>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</si>
  <si>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</si>
  <si>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</si>
  <si>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</si>
  <si>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</si>
  <si>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</si>
  <si>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</si>
  <si>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</si>
  <si>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</si>
  <si>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</si>
  <si>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</si>
  <si>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</si>
  <si>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</si>
  <si>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</si>
  <si>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</si>
  <si>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</si>
  <si>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</si>
  <si>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</si>
  <si>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</si>
  <si>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</si>
  <si>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</si>
  <si>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</si>
  <si>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</si>
  <si>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</si>
  <si>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</si>
  <si>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</si>
  <si>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</si>
  <si>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</si>
  <si>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</si>
  <si>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</si>
  <si>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</si>
  <si>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</si>
  <si>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</si>
  <si>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</si>
  <si>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</si>
  <si>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</si>
  <si>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</si>
  <si>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</si>
  <si>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</si>
  <si>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</si>
  <si>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</si>
  <si>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</si>
  <si>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</si>
  <si>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</si>
  <si>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</si>
  <si>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</si>
  <si>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</si>
  <si>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</si>
  <si>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</si>
  <si>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</si>
  <si>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</si>
  <si>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</si>
  <si>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</si>
  <si>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</si>
  <si>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</si>
  <si>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</si>
  <si>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</si>
  <si>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</si>
  <si>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</si>
  <si>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</si>
  <si>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</si>
  <si>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</si>
  <si>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</si>
  <si>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</si>
  <si>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</si>
  <si>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</si>
  <si>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</si>
  <si>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</si>
  <si>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</si>
  <si>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</si>
  <si>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</si>
  <si>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</si>
  <si>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</si>
  <si>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</si>
  <si>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</si>
  <si>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</si>
  <si>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</si>
  <si>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</si>
  <si>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</si>
  <si>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</si>
  <si>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</si>
  <si>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</si>
  <si>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</si>
  <si>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</si>
  <si>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</si>
  <si>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</si>
  <si>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</si>
  <si>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</si>
  <si>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</si>
  <si>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</si>
  <si>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</si>
  <si>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</si>
  <si>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</si>
  <si>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</si>
  <si>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</si>
  <si>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</si>
  <si>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</si>
  <si>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</si>
  <si>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</si>
  <si>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</si>
  <si>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</si>
  <si>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</si>
  <si>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</si>
  <si>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</si>
  <si>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</si>
  <si>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</si>
  <si>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</si>
  <si>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</si>
  <si>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</si>
  <si>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</si>
  <si>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</si>
  <si>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</si>
  <si>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</si>
  <si>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</si>
  <si>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</si>
  <si>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</si>
  <si>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</si>
  <si>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</si>
  <si>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</si>
  <si>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</si>
  <si>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</si>
  <si>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</si>
  <si>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</si>
  <si>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</si>
  <si>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</si>
  <si>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</si>
  <si>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</si>
  <si>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</si>
  <si>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</si>
  <si>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</si>
  <si>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</si>
  <si>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</si>
  <si>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</si>
  <si>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</si>
  <si>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</si>
  <si>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</si>
  <si>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</si>
  <si>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</si>
  <si>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</si>
  <si>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</si>
  <si>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</si>
  <si>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</si>
  <si>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</si>
  <si>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</si>
  <si>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</si>
  <si>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</si>
  <si>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</si>
  <si>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</si>
  <si>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</si>
  <si>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</si>
  <si>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</si>
  <si>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</si>
  <si>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</si>
  <si>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</si>
  <si>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</si>
  <si>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</si>
  <si>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</si>
  <si>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</si>
  <si>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</si>
  <si>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</si>
  <si>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</si>
  <si>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</si>
  <si>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</si>
  <si>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</si>
  <si>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</si>
  <si>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</si>
  <si>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</si>
  <si>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</si>
  <si>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</si>
  <si>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</si>
  <si>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</si>
  <si>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</si>
  <si>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</si>
  <si>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</si>
  <si>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</si>
  <si>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</si>
  <si>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</si>
  <si>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</si>
  <si>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</si>
  <si>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</si>
  <si>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</si>
  <si>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</si>
  <si>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</si>
  <si>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</si>
  <si>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</si>
  <si>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</si>
  <si>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</si>
  <si>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</si>
  <si>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</si>
  <si>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</si>
  <si>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</si>
  <si>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</si>
  <si>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</si>
  <si>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</si>
  <si>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</si>
  <si>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</si>
  <si>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</si>
  <si>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</si>
  <si>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</si>
  <si>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</si>
  <si>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</si>
  <si>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</si>
  <si>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</si>
  <si>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</si>
  <si>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</si>
  <si>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</si>
  <si>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</si>
  <si>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</si>
  <si>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</si>
  <si>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</si>
  <si>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</si>
  <si>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</si>
  <si>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</si>
  <si>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</si>
  <si>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</si>
  <si>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</si>
  <si>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</si>
  <si>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</si>
  <si>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</si>
  <si>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</si>
  <si>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</si>
  <si>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</si>
  <si>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</si>
  <si>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</si>
  <si>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</si>
  <si>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</si>
  <si>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</si>
  <si>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</si>
  <si>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</si>
  <si>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</si>
  <si>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</si>
  <si>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</si>
  <si>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</si>
  <si>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</si>
  <si>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</si>
  <si>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</si>
  <si>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</si>
  <si>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</si>
  <si>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</si>
  <si>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</si>
  <si>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</si>
  <si>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</si>
  <si>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</si>
  <si>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</si>
  <si>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</si>
  <si>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</si>
  <si>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</si>
  <si>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</si>
  <si>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</si>
  <si>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</si>
  <si>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</si>
  <si>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</si>
  <si>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</si>
  <si>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</si>
  <si>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</si>
  <si>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</si>
  <si>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</si>
  <si>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</si>
  <si>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</si>
  <si>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</si>
  <si>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</si>
  <si>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</si>
  <si>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</si>
  <si>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</si>
  <si>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</si>
  <si>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</si>
  <si>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</si>
  <si>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</si>
  <si>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</si>
  <si>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</si>
  <si>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</si>
  <si>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</si>
  <si>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</si>
  <si>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</si>
  <si>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</si>
  <si>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</si>
  <si>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</si>
  <si>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</si>
  <si>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</si>
  <si>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</si>
  <si>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</si>
  <si>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</si>
  <si>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</si>
  <si>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</si>
  <si>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</si>
  <si>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</si>
  <si>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</si>
  <si>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</si>
  <si>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</si>
  <si>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</si>
  <si>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</si>
  <si>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</si>
  <si>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</si>
  <si>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</si>
  <si>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</si>
  <si>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</si>
  <si>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</si>
  <si>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</si>
  <si>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</si>
  <si>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</si>
  <si>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</si>
  <si>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</si>
  <si>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</si>
  <si>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</si>
  <si>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</si>
  <si>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</si>
  <si>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</si>
  <si>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</si>
  <si>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</si>
  <si>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</si>
  <si>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</si>
  <si>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</si>
  <si>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</si>
  <si>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</si>
  <si>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</si>
  <si>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</si>
  <si>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</si>
  <si>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</si>
  <si>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</si>
  <si>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</si>
  <si>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</si>
  <si>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</si>
  <si>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</si>
  <si>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</si>
  <si>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</si>
  <si>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</si>
  <si>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</si>
  <si>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</si>
  <si>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</si>
  <si>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</si>
  <si>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</si>
  <si>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</si>
  <si>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</si>
  <si>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</si>
  <si>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</si>
  <si>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</si>
  <si>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</si>
  <si>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</si>
  <si>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</si>
  <si>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</si>
  <si>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</si>
  <si>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</si>
  <si>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</si>
  <si>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</si>
  <si>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</si>
  <si>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</si>
  <si>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</si>
  <si>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</si>
  <si>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</si>
  <si>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</si>
  <si>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</si>
  <si>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</si>
  <si>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</si>
  <si>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</si>
  <si>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</si>
  <si>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</si>
  <si>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</si>
  <si>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</si>
  <si>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</si>
  <si>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</si>
  <si>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</si>
  <si>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</si>
  <si>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</si>
  <si>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</si>
  <si>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</si>
  <si>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</si>
  <si>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</si>
  <si>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</si>
  <si>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</si>
  <si>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</si>
  <si>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</si>
  <si>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</si>
  <si>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</si>
  <si>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</si>
  <si>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</si>
  <si>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</si>
  <si>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</si>
  <si>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</si>
  <si>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</si>
  <si>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</si>
  <si>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</si>
  <si>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</si>
  <si>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</si>
  <si>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</si>
  <si>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</si>
  <si>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</si>
  <si>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</si>
  <si>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</si>
  <si>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</si>
  <si>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</si>
  <si>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</si>
  <si>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</si>
  <si>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</si>
  <si>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</si>
  <si>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</si>
  <si>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</si>
  <si>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</si>
  <si>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</si>
  <si>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</si>
  <si>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</si>
  <si>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</si>
  <si>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</si>
  <si>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</si>
  <si>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</si>
  <si>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</si>
  <si>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</si>
  <si>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</si>
  <si>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</si>
  <si>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</si>
  <si>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</si>
  <si>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</si>
  <si>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</si>
  <si>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</si>
  <si>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</si>
  <si>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</si>
  <si>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</si>
  <si>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</si>
  <si>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</si>
  <si>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</si>
  <si>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</si>
  <si>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</si>
  <si>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</si>
  <si>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</si>
  <si>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</si>
  <si>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</si>
  <si>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</si>
  <si>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</si>
  <si>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</si>
  <si>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</si>
  <si>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</si>
  <si>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</si>
  <si>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</si>
  <si>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</si>
  <si>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</si>
  <si>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</si>
  <si>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</si>
  <si>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</si>
  <si>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</si>
  <si>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</si>
  <si>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</si>
  <si>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</si>
  <si>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</si>
  <si>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</si>
  <si>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</si>
  <si>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</si>
  <si>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</si>
  <si>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</si>
  <si>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</si>
  <si>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</si>
  <si>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</si>
  <si>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</si>
  <si>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</si>
  <si>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</si>
  <si>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</si>
  <si>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</si>
  <si>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</si>
  <si>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</si>
  <si>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</si>
  <si>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</si>
  <si>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</si>
  <si>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</si>
  <si>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</si>
  <si>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</si>
  <si>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</si>
  <si>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</si>
  <si>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</si>
  <si>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</si>
  <si>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</si>
  <si>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</si>
  <si>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</si>
  <si>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</si>
  <si>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</si>
  <si>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</si>
  <si>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</si>
  <si>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</si>
  <si>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</si>
  <si>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</si>
  <si>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</si>
  <si>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</si>
  <si>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</si>
  <si>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</si>
  <si>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</si>
  <si>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</si>
  <si>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</si>
  <si>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</si>
  <si>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</si>
  <si>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</si>
  <si>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</si>
  <si>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</si>
  <si>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</si>
  <si>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</si>
  <si>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</si>
  <si>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</si>
  <si>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</si>
  <si>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</si>
  <si>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</si>
  <si>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</si>
  <si>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</si>
  <si>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</si>
  <si>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</si>
  <si>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</si>
  <si>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</si>
  <si>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</si>
  <si>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</si>
  <si>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</si>
  <si>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</si>
  <si>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</si>
  <si>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</si>
  <si>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</si>
  <si>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</si>
  <si>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</si>
  <si>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</si>
  <si>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</si>
  <si>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</si>
  <si>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</si>
  <si>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</si>
  <si>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</si>
  <si>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</si>
  <si>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</si>
  <si>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</si>
  <si>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</si>
  <si>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</si>
  <si>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</si>
  <si>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</si>
  <si>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</si>
  <si>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</si>
  <si>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</si>
  <si>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</si>
  <si>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</si>
  <si>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</si>
  <si>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</si>
  <si>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</si>
  <si>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</si>
  <si>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</si>
  <si>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</si>
  <si>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</si>
  <si>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</si>
  <si>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</si>
  <si>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</si>
  <si>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</si>
  <si>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</si>
  <si>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</si>
  <si>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</si>
  <si>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</si>
  <si>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</si>
  <si>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</si>
  <si>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</si>
  <si>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</si>
  <si>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</si>
  <si>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</si>
  <si>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</si>
  <si>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</si>
  <si>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</si>
  <si>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</si>
  <si>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</si>
  <si>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</si>
  <si>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</si>
  <si>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</si>
  <si>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</si>
  <si>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</si>
  <si>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</si>
  <si>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</si>
  <si>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</si>
  <si>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</si>
  <si>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</si>
  <si>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</si>
  <si>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</si>
  <si>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</si>
  <si>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</si>
  <si>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</si>
  <si>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</si>
  <si>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</si>
  <si>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</si>
  <si>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</si>
  <si>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</si>
  <si>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</si>
  <si>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</si>
  <si>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</si>
  <si>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</si>
  <si>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</si>
  <si>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</si>
  <si>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</si>
  <si>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</si>
  <si>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</si>
  <si>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</si>
  <si>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</si>
  <si>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</si>
  <si>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</si>
  <si>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</si>
  <si>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</si>
  <si>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</si>
  <si>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</si>
  <si>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</si>
  <si>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</si>
  <si>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</si>
  <si>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</si>
  <si>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</si>
  <si>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</si>
  <si>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</si>
  <si>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</si>
  <si>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</si>
  <si>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</si>
  <si>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</si>
  <si>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</si>
  <si>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</si>
  <si>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Sum of Total Sales</t>
  </si>
  <si>
    <t>Female Total</t>
  </si>
  <si>
    <t>Male Total</t>
  </si>
  <si>
    <t>Grand Total</t>
  </si>
  <si>
    <t>Adult</t>
  </si>
  <si>
    <t>Senior</t>
  </si>
  <si>
    <t>Young Adult</t>
  </si>
  <si>
    <t>Beauty Total</t>
  </si>
  <si>
    <t>Clothing Total</t>
  </si>
  <si>
    <t>Electronics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</si>
</sst>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[$£-809]* #,##0.00_-;\-[$£-809]* #,##0.00_-;_-[$£-809]* &quot;-&quot;??_-;_-@_-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pivotButton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Copy.Bahjo.xlsx]charts and grahs!PivotTable1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and grahs'!$C$3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'charts and grahs'!$A$4:$B$12</c:f>
              <c:multiLvlStrCache>
                <c:ptCount val="6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Beauty</c:v>
                  </c:pt>
                  <c:pt idx="4">
                    <c:v>Clothing</c:v>
                  </c:pt>
                  <c:pt idx="5">
                    <c:v>Electronics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'charts and grahs'!$C$4:$C$12</c:f>
              <c:numCache>
                <c:formatCode>0.00%</c:formatCode>
                <c:ptCount val="6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  <c:pt idx="3">
                  <c:v>0.15062500000000001</c:v>
                </c:pt>
                <c:pt idx="4">
                  <c:v>0.16294956140350877</c:v>
                </c:pt>
                <c:pt idx="5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3-4632-9B40-32EADEA59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0348423"/>
        <c:axId val="260354567"/>
      </c:barChart>
      <c:catAx>
        <c:axId val="260348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354567"/>
        <c:crosses val="autoZero"/>
        <c:auto val="1"/>
        <c:lblAlgn val="ctr"/>
        <c:lblOffset val="100"/>
        <c:noMultiLvlLbl val="0"/>
      </c:catAx>
      <c:valAx>
        <c:axId val="260354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348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Copy.Bahjo.xlsx]charts and graphs!PivotTable1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and graphs'!$D$3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'charts and graphs'!$A$4:$C$31</c:f>
              <c:multiLvlStrCache>
                <c:ptCount val="18"/>
                <c:lvl>
                  <c:pt idx="0">
                    <c:v>Adult</c:v>
                  </c:pt>
                  <c:pt idx="1">
                    <c:v>Senior</c:v>
                  </c:pt>
                  <c:pt idx="2">
                    <c:v>Young Adult</c:v>
                  </c:pt>
                  <c:pt idx="3">
                    <c:v>Adult</c:v>
                  </c:pt>
                  <c:pt idx="4">
                    <c:v>Senior</c:v>
                  </c:pt>
                  <c:pt idx="5">
                    <c:v>Young Adult</c:v>
                  </c:pt>
                  <c:pt idx="6">
                    <c:v>Adult</c:v>
                  </c:pt>
                  <c:pt idx="7">
                    <c:v>Senior</c:v>
                  </c:pt>
                  <c:pt idx="8">
                    <c:v>Young Adult</c:v>
                  </c:pt>
                  <c:pt idx="9">
                    <c:v>Adult</c:v>
                  </c:pt>
                  <c:pt idx="10">
                    <c:v>Senior</c:v>
                  </c:pt>
                  <c:pt idx="11">
                    <c:v>Young Adult</c:v>
                  </c:pt>
                  <c:pt idx="12">
                    <c:v>Adult</c:v>
                  </c:pt>
                  <c:pt idx="13">
                    <c:v>Senior</c:v>
                  </c:pt>
                  <c:pt idx="14">
                    <c:v>Young Adult</c:v>
                  </c:pt>
                  <c:pt idx="15">
                    <c:v>Adult</c:v>
                  </c:pt>
                  <c:pt idx="16">
                    <c:v>Senior</c:v>
                  </c:pt>
                  <c:pt idx="17">
                    <c:v>Young Adult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  <c:pt idx="6">
                    <c:v>Female</c:v>
                  </c:pt>
                  <c:pt idx="9">
                    <c:v>Male</c:v>
                  </c:pt>
                  <c:pt idx="12">
                    <c:v>Female</c:v>
                  </c:pt>
                  <c:pt idx="15">
                    <c:v>Male</c:v>
                  </c:pt>
                </c:lvl>
                <c:lvl>
                  <c:pt idx="0">
                    <c:v>Beauty</c:v>
                  </c:pt>
                  <c:pt idx="6">
                    <c:v>Clothing</c:v>
                  </c:pt>
                  <c:pt idx="12">
                    <c:v>Electronics</c:v>
                  </c:pt>
                </c:lvl>
              </c:multiLvlStrCache>
            </c:multiLvlStrRef>
          </c:cat>
          <c:val>
            <c:numRef>
              <c:f>'charts and graphs'!$D$4:$D$31</c:f>
              <c:numCache>
                <c:formatCode>General</c:formatCode>
                <c:ptCount val="18"/>
                <c:pt idx="0">
                  <c:v>35170</c:v>
                </c:pt>
                <c:pt idx="1">
                  <c:v>20010</c:v>
                </c:pt>
                <c:pt idx="2">
                  <c:v>19650</c:v>
                </c:pt>
                <c:pt idx="3">
                  <c:v>32860</c:v>
                </c:pt>
                <c:pt idx="4">
                  <c:v>14075</c:v>
                </c:pt>
                <c:pt idx="5">
                  <c:v>21750</c:v>
                </c:pt>
                <c:pt idx="6">
                  <c:v>31970</c:v>
                </c:pt>
                <c:pt idx="7">
                  <c:v>25085</c:v>
                </c:pt>
                <c:pt idx="8">
                  <c:v>24220</c:v>
                </c:pt>
                <c:pt idx="9">
                  <c:v>30390</c:v>
                </c:pt>
                <c:pt idx="10">
                  <c:v>21985</c:v>
                </c:pt>
                <c:pt idx="11">
                  <c:v>21930</c:v>
                </c:pt>
                <c:pt idx="12">
                  <c:v>30410</c:v>
                </c:pt>
                <c:pt idx="13">
                  <c:v>26670</c:v>
                </c:pt>
                <c:pt idx="14">
                  <c:v>19655</c:v>
                </c:pt>
                <c:pt idx="15">
                  <c:v>28890</c:v>
                </c:pt>
                <c:pt idx="16">
                  <c:v>35330</c:v>
                </c:pt>
                <c:pt idx="17">
                  <c:v>15950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B-4DCA-BF66-56FCC6466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69530376"/>
        <c:axId val="769532424"/>
      </c:barChart>
      <c:catAx>
        <c:axId val="76953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532424"/>
        <c:crosses val="autoZero"/>
        <c:auto val="1"/>
        <c:lblAlgn val="ctr"/>
        <c:lblOffset val="100"/>
        <c:noMultiLvlLbl val="0"/>
      </c:catAx>
      <c:valAx>
        <c:axId val="769532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530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152400</xdr:rowOff>
    </xdr:from>
    <xdr:to>
      <xdr:col>9</xdr:col>
      <xdr:colOff>619125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A4C996-B149-20FC-409C-E457267AC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0</xdr:row>
      <xdr:rowOff>66675</xdr:rowOff>
    </xdr:from>
    <xdr:to>
      <xdr:col>13</xdr:col>
      <xdr:colOff>533400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653643-3F96-B62B-53E2-C8896D4C5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238125</xdr:colOff>
      <xdr:row>14</xdr:row>
      <xdr:rowOff>152400</xdr:rowOff>
    </xdr:from>
    <xdr:to>
      <xdr:col>8</xdr:col>
      <xdr:colOff>9525</xdr:colOff>
      <xdr:row>19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der">
              <a:extLst>
                <a:ext uri="{FF2B5EF4-FFF2-40B4-BE49-F238E27FC236}">
                  <a16:creationId xmlns:a16="http://schemas.microsoft.com/office/drawing/2014/main" id="{4D0CD6C1-DEBC-747D-A4D9-5ECC91C63779}"/>
                </a:ext>
                <a:ext uri="{147F2762-F138-4A5C-976F-8EAC2B608ADB}">
                  <a16:predDERef xmlns:a16="http://schemas.microsoft.com/office/drawing/2014/main" pred="{15653643-3F96-B62B-53E2-C8896D4C5A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00" y="2952750"/>
              <a:ext cx="1828800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142875</xdr:colOff>
      <xdr:row>14</xdr:row>
      <xdr:rowOff>152400</xdr:rowOff>
    </xdr:from>
    <xdr:to>
      <xdr:col>14</xdr:col>
      <xdr:colOff>600075</xdr:colOff>
      <xdr:row>21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eration">
              <a:extLst>
                <a:ext uri="{FF2B5EF4-FFF2-40B4-BE49-F238E27FC236}">
                  <a16:creationId xmlns:a16="http://schemas.microsoft.com/office/drawing/2014/main" id="{34C58FD9-D8DF-6267-7979-F39C579D1AE9}"/>
                </a:ext>
                <a:ext uri="{147F2762-F138-4A5C-976F-8EAC2B608ADB}">
                  <a16:predDERef xmlns:a16="http://schemas.microsoft.com/office/drawing/2014/main" pred="{4D0CD6C1-DEBC-747D-A4D9-5ECC91C637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20350" y="2952750"/>
              <a:ext cx="1828800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180975</xdr:colOff>
      <xdr:row>14</xdr:row>
      <xdr:rowOff>152400</xdr:rowOff>
    </xdr:from>
    <xdr:to>
      <xdr:col>10</xdr:col>
      <xdr:colOff>638175</xdr:colOff>
      <xdr:row>20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BBD8717E-3892-5577-EFD0-A625DF304AC1}"/>
                </a:ext>
                <a:ext uri="{147F2762-F138-4A5C-976F-8EAC2B608ADB}">
                  <a16:predDERef xmlns:a16="http://schemas.microsoft.com/office/drawing/2014/main" pred="{34C58FD9-D8DF-6267-7979-F39C579D1A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5250" y="2952750"/>
              <a:ext cx="1828800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488457060186" createdVersion="8" refreshedVersion="8" minRefreshableVersion="3" recordCount="1000" xr:uid="{0AB91606-CEBA-48E8-910C-61F04D2FC8CA}">
  <cacheSource type="worksheet">
    <worksheetSource ref="A1:P1001" sheet="retail_sales_dataset"/>
  </cacheSource>
  <cacheFields count="16">
    <cacheField name="Transaction ID" numFmtId="0">
      <sharedItems containsSemiMixedTypes="0" containsString="0" containsNumber="1" containsInteger="1" minValue="1" maxValue="1000"/>
    </cacheField>
    <cacheField name="Year" numFmtId="0">
      <sharedItems containsSemiMixedTypes="0" containsString="0" containsNumber="1" containsInteger="1" minValue="2023" maxValue="2024"/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/>
    </cacheField>
    <cacheField name="Field5" caption="Field5" numFmtId="0">
      <sharedItems/>
    </cacheField>
    <cacheField name="Day Name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0">
      <sharedItems containsSemiMixedTypes="0" containsString="0" containsNumber="1" containsInteger="1" minValue="25" maxValue="2000"/>
    </cacheField>
    <cacheField name="Commision 2023" numFmtId="165">
      <sharedItems containsSemiMixedTypes="0" containsString="0" containsNumber="1" minValue="0.375" maxValue="30"/>
    </cacheField>
  </cacheFields>
  <extLst>
    <ext xmlns:x14="http://schemas.microsoft.com/office/spreadsheetml/2009/9/main" uri="{725AE2AE-9491-48be-B2B4-4EB974FC3084}">
      <x14:pivotCacheDefinition pivotCacheId="11354964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023"/>
    <n v="11"/>
    <n v="24"/>
    <s v="November"/>
    <s v="Friday"/>
    <d v="2023-11-24T00:00:00"/>
    <s v="CUST001"/>
    <x v="0"/>
    <n v="34"/>
    <x v="0"/>
    <x v="0"/>
    <n v="3"/>
    <n v="50"/>
    <n v="150"/>
    <n v="2.25"/>
  </r>
  <r>
    <n v="2"/>
    <n v="2023"/>
    <n v="2"/>
    <n v="27"/>
    <s v="February"/>
    <s v="Monday"/>
    <d v="2023-02-27T00:00:00"/>
    <s v="CUST002"/>
    <x v="1"/>
    <n v="26"/>
    <x v="1"/>
    <x v="1"/>
    <n v="2"/>
    <n v="500"/>
    <n v="1000"/>
    <n v="15"/>
  </r>
  <r>
    <n v="3"/>
    <n v="2023"/>
    <n v="1"/>
    <n v="13"/>
    <s v="January"/>
    <s v="Friday"/>
    <d v="2023-01-13T00:00:00"/>
    <s v="CUST003"/>
    <x v="0"/>
    <n v="50"/>
    <x v="2"/>
    <x v="2"/>
    <n v="1"/>
    <n v="30"/>
    <n v="30"/>
    <n v="0.44999999999999996"/>
  </r>
  <r>
    <n v="4"/>
    <n v="2023"/>
    <n v="5"/>
    <n v="21"/>
    <s v="May"/>
    <s v="Sunday"/>
    <d v="2023-05-21T00:00:00"/>
    <s v="CUST004"/>
    <x v="0"/>
    <n v="37"/>
    <x v="0"/>
    <x v="1"/>
    <n v="1"/>
    <n v="500"/>
    <n v="500"/>
    <n v="7.5"/>
  </r>
  <r>
    <n v="5"/>
    <n v="2023"/>
    <n v="5"/>
    <n v="6"/>
    <s v="May"/>
    <s v="Saturday"/>
    <d v="2023-05-06T00:00:00"/>
    <s v="CUST005"/>
    <x v="0"/>
    <n v="30"/>
    <x v="0"/>
    <x v="0"/>
    <n v="2"/>
    <n v="50"/>
    <n v="100"/>
    <n v="1.5"/>
  </r>
  <r>
    <n v="6"/>
    <n v="2023"/>
    <n v="4"/>
    <n v="25"/>
    <s v="April"/>
    <s v="Tuesday"/>
    <d v="2023-04-25T00:00:00"/>
    <s v="CUST006"/>
    <x v="1"/>
    <n v="45"/>
    <x v="0"/>
    <x v="0"/>
    <n v="1"/>
    <n v="30"/>
    <n v="30"/>
    <n v="0.44999999999999996"/>
  </r>
  <r>
    <n v="7"/>
    <n v="2023"/>
    <n v="3"/>
    <n v="13"/>
    <s v="March"/>
    <s v="Monday"/>
    <d v="2023-03-13T00:00:00"/>
    <s v="CUST007"/>
    <x v="0"/>
    <n v="46"/>
    <x v="0"/>
    <x v="1"/>
    <n v="2"/>
    <n v="25"/>
    <n v="50"/>
    <n v="0.75"/>
  </r>
  <r>
    <n v="8"/>
    <n v="2023"/>
    <n v="2"/>
    <n v="22"/>
    <s v="February"/>
    <s v="Wednesday"/>
    <d v="2023-02-22T00:00:00"/>
    <s v="CUST008"/>
    <x v="0"/>
    <n v="30"/>
    <x v="0"/>
    <x v="2"/>
    <n v="4"/>
    <n v="25"/>
    <n v="100"/>
    <n v="1.5"/>
  </r>
  <r>
    <n v="9"/>
    <n v="2023"/>
    <n v="12"/>
    <n v="13"/>
    <s v="December"/>
    <s v="Wednesday"/>
    <d v="2023-12-13T00:00:00"/>
    <s v="CUST009"/>
    <x v="0"/>
    <n v="63"/>
    <x v="2"/>
    <x v="2"/>
    <n v="2"/>
    <n v="300"/>
    <n v="600"/>
    <n v="9"/>
  </r>
  <r>
    <n v="10"/>
    <n v="2023"/>
    <n v="10"/>
    <n v="7"/>
    <s v="October"/>
    <s v="Saturday"/>
    <d v="2023-10-07T00:00:00"/>
    <s v="CUST010"/>
    <x v="1"/>
    <n v="52"/>
    <x v="2"/>
    <x v="1"/>
    <n v="4"/>
    <n v="50"/>
    <n v="200"/>
    <n v="3"/>
  </r>
  <r>
    <n v="11"/>
    <n v="2023"/>
    <n v="2"/>
    <n v="14"/>
    <s v="February"/>
    <s v="Tuesday"/>
    <d v="2023-02-14T00:00:00"/>
    <s v="CUST011"/>
    <x v="0"/>
    <n v="23"/>
    <x v="1"/>
    <x v="1"/>
    <n v="2"/>
    <n v="50"/>
    <n v="100"/>
    <n v="1.5"/>
  </r>
  <r>
    <n v="12"/>
    <n v="2023"/>
    <n v="10"/>
    <n v="30"/>
    <s v="October"/>
    <s v="Monday"/>
    <d v="2023-10-30T00:00:00"/>
    <s v="CUST012"/>
    <x v="0"/>
    <n v="35"/>
    <x v="0"/>
    <x v="0"/>
    <n v="3"/>
    <n v="25"/>
    <n v="75"/>
    <n v="1.125"/>
  </r>
  <r>
    <n v="13"/>
    <n v="2023"/>
    <n v="8"/>
    <n v="5"/>
    <s v="August"/>
    <s v="Saturday"/>
    <d v="2023-08-05T00:00:00"/>
    <s v="CUST013"/>
    <x v="0"/>
    <n v="22"/>
    <x v="1"/>
    <x v="2"/>
    <n v="3"/>
    <n v="500"/>
    <n v="1500"/>
    <n v="22.5"/>
  </r>
  <r>
    <n v="14"/>
    <n v="2023"/>
    <n v="1"/>
    <n v="17"/>
    <s v="January"/>
    <s v="Tuesday"/>
    <d v="2023-01-17T00:00:00"/>
    <s v="CUST014"/>
    <x v="0"/>
    <n v="64"/>
    <x v="2"/>
    <x v="1"/>
    <n v="4"/>
    <n v="30"/>
    <n v="120"/>
    <n v="1.7999999999999998"/>
  </r>
  <r>
    <n v="15"/>
    <n v="2023"/>
    <n v="1"/>
    <n v="16"/>
    <s v="January"/>
    <s v="Monday"/>
    <d v="2023-01-16T00:00:00"/>
    <s v="CUST015"/>
    <x v="1"/>
    <n v="42"/>
    <x v="0"/>
    <x v="2"/>
    <n v="4"/>
    <n v="500"/>
    <n v="2000"/>
    <n v="30"/>
  </r>
  <r>
    <n v="16"/>
    <n v="2023"/>
    <n v="2"/>
    <n v="17"/>
    <s v="February"/>
    <s v="Friday"/>
    <d v="2023-02-17T00:00:00"/>
    <s v="CUST016"/>
    <x v="0"/>
    <n v="19"/>
    <x v="1"/>
    <x v="1"/>
    <n v="3"/>
    <n v="500"/>
    <n v="1500"/>
    <n v="22.5"/>
  </r>
  <r>
    <n v="17"/>
    <n v="2023"/>
    <n v="4"/>
    <n v="22"/>
    <s v="April"/>
    <s v="Saturday"/>
    <d v="2023-04-22T00:00:00"/>
    <s v="CUST017"/>
    <x v="1"/>
    <n v="27"/>
    <x v="1"/>
    <x v="1"/>
    <n v="4"/>
    <n v="25"/>
    <n v="100"/>
    <n v="1.5"/>
  </r>
  <r>
    <n v="18"/>
    <n v="2023"/>
    <n v="4"/>
    <n v="30"/>
    <s v="April"/>
    <s v="Sunday"/>
    <d v="2023-04-30T00:00:00"/>
    <s v="CUST018"/>
    <x v="1"/>
    <n v="47"/>
    <x v="0"/>
    <x v="2"/>
    <n v="2"/>
    <n v="25"/>
    <n v="50"/>
    <n v="0.75"/>
  </r>
  <r>
    <n v="19"/>
    <n v="2023"/>
    <n v="9"/>
    <n v="16"/>
    <s v="September"/>
    <s v="Saturday"/>
    <d v="2023-09-16T00:00:00"/>
    <s v="CUST019"/>
    <x v="1"/>
    <n v="62"/>
    <x v="2"/>
    <x v="1"/>
    <n v="2"/>
    <n v="25"/>
    <n v="50"/>
    <n v="0.75"/>
  </r>
  <r>
    <n v="20"/>
    <n v="2023"/>
    <n v="11"/>
    <n v="5"/>
    <s v="November"/>
    <s v="Sunday"/>
    <d v="2023-11-05T00:00:00"/>
    <s v="CUST020"/>
    <x v="0"/>
    <n v="22"/>
    <x v="1"/>
    <x v="1"/>
    <n v="3"/>
    <n v="300"/>
    <n v="900"/>
    <n v="13.5"/>
  </r>
  <r>
    <n v="21"/>
    <n v="2023"/>
    <n v="1"/>
    <n v="14"/>
    <s v="January"/>
    <s v="Saturday"/>
    <d v="2023-01-14T00:00:00"/>
    <s v="CUST021"/>
    <x v="1"/>
    <n v="50"/>
    <x v="2"/>
    <x v="0"/>
    <n v="1"/>
    <n v="500"/>
    <n v="500"/>
    <n v="7.5"/>
  </r>
  <r>
    <n v="22"/>
    <n v="2023"/>
    <n v="10"/>
    <n v="15"/>
    <s v="October"/>
    <s v="Sunday"/>
    <d v="2023-10-15T00:00:00"/>
    <s v="CUST022"/>
    <x v="0"/>
    <n v="18"/>
    <x v="1"/>
    <x v="1"/>
    <n v="2"/>
    <n v="50"/>
    <n v="100"/>
    <n v="1.5"/>
  </r>
  <r>
    <n v="23"/>
    <n v="2023"/>
    <n v="4"/>
    <n v="12"/>
    <s v="April"/>
    <s v="Wednesday"/>
    <d v="2023-04-12T00:00:00"/>
    <s v="CUST023"/>
    <x v="1"/>
    <n v="35"/>
    <x v="0"/>
    <x v="1"/>
    <n v="4"/>
    <n v="30"/>
    <n v="120"/>
    <n v="1.7999999999999998"/>
  </r>
  <r>
    <n v="24"/>
    <n v="2023"/>
    <n v="11"/>
    <n v="29"/>
    <s v="November"/>
    <s v="Wednesday"/>
    <d v="2023-11-29T00:00:00"/>
    <s v="CUST024"/>
    <x v="1"/>
    <n v="49"/>
    <x v="0"/>
    <x v="1"/>
    <n v="1"/>
    <n v="300"/>
    <n v="300"/>
    <n v="4.5"/>
  </r>
  <r>
    <n v="25"/>
    <n v="2023"/>
    <n v="12"/>
    <n v="26"/>
    <s v="December"/>
    <s v="Tuesday"/>
    <d v="2023-12-26T00:00:00"/>
    <s v="CUST025"/>
    <x v="1"/>
    <n v="64"/>
    <x v="2"/>
    <x v="0"/>
    <n v="1"/>
    <n v="50"/>
    <n v="50"/>
    <n v="0.75"/>
  </r>
  <r>
    <n v="26"/>
    <n v="2023"/>
    <n v="10"/>
    <n v="7"/>
    <s v="October"/>
    <s v="Saturday"/>
    <d v="2023-10-07T00:00:00"/>
    <s v="CUST026"/>
    <x v="1"/>
    <n v="28"/>
    <x v="1"/>
    <x v="2"/>
    <n v="2"/>
    <n v="500"/>
    <n v="1000"/>
    <n v="15"/>
  </r>
  <r>
    <n v="27"/>
    <n v="2023"/>
    <n v="8"/>
    <n v="3"/>
    <s v="August"/>
    <s v="Thursday"/>
    <d v="2023-08-03T00:00:00"/>
    <s v="CUST027"/>
    <x v="1"/>
    <n v="38"/>
    <x v="0"/>
    <x v="0"/>
    <n v="2"/>
    <n v="25"/>
    <n v="50"/>
    <n v="0.75"/>
  </r>
  <r>
    <n v="28"/>
    <n v="2023"/>
    <n v="4"/>
    <n v="23"/>
    <s v="April"/>
    <s v="Sunday"/>
    <d v="2023-04-23T00:00:00"/>
    <s v="CUST028"/>
    <x v="1"/>
    <n v="43"/>
    <x v="0"/>
    <x v="0"/>
    <n v="1"/>
    <n v="500"/>
    <n v="500"/>
    <n v="7.5"/>
  </r>
  <r>
    <n v="29"/>
    <n v="2023"/>
    <n v="8"/>
    <n v="18"/>
    <s v="August"/>
    <s v="Friday"/>
    <d v="2023-08-18T00:00:00"/>
    <s v="CUST029"/>
    <x v="1"/>
    <n v="42"/>
    <x v="0"/>
    <x v="2"/>
    <n v="1"/>
    <n v="30"/>
    <n v="30"/>
    <n v="0.44999999999999996"/>
  </r>
  <r>
    <n v="30"/>
    <n v="2023"/>
    <n v="10"/>
    <n v="29"/>
    <s v="October"/>
    <s v="Sunday"/>
    <d v="2023-10-29T00:00:00"/>
    <s v="CUST030"/>
    <x v="1"/>
    <n v="39"/>
    <x v="0"/>
    <x v="0"/>
    <n v="3"/>
    <n v="300"/>
    <n v="900"/>
    <n v="13.5"/>
  </r>
  <r>
    <n v="31"/>
    <n v="2023"/>
    <n v="5"/>
    <n v="23"/>
    <s v="May"/>
    <s v="Tuesday"/>
    <d v="2023-05-23T00:00:00"/>
    <s v="CUST031"/>
    <x v="0"/>
    <n v="44"/>
    <x v="0"/>
    <x v="2"/>
    <n v="4"/>
    <n v="300"/>
    <n v="1200"/>
    <n v="18"/>
  </r>
  <r>
    <n v="32"/>
    <n v="2023"/>
    <n v="1"/>
    <n v="4"/>
    <s v="January"/>
    <s v="Wednesday"/>
    <d v="2023-01-04T00:00:00"/>
    <s v="CUST032"/>
    <x v="0"/>
    <n v="30"/>
    <x v="0"/>
    <x v="0"/>
    <n v="3"/>
    <n v="30"/>
    <n v="90"/>
    <n v="1.3499999999999999"/>
  </r>
  <r>
    <n v="33"/>
    <n v="2023"/>
    <n v="3"/>
    <n v="23"/>
    <s v="March"/>
    <s v="Thursday"/>
    <d v="2023-03-23T00:00:00"/>
    <s v="CUST033"/>
    <x v="1"/>
    <n v="50"/>
    <x v="2"/>
    <x v="2"/>
    <n v="2"/>
    <n v="50"/>
    <n v="100"/>
    <n v="1.5"/>
  </r>
  <r>
    <n v="34"/>
    <n v="2023"/>
    <n v="12"/>
    <n v="24"/>
    <s v="December"/>
    <s v="Sunday"/>
    <d v="2023-12-24T00:00:00"/>
    <s v="CUST034"/>
    <x v="1"/>
    <n v="51"/>
    <x v="2"/>
    <x v="1"/>
    <n v="3"/>
    <n v="50"/>
    <n v="150"/>
    <n v="2.25"/>
  </r>
  <r>
    <n v="35"/>
    <n v="2023"/>
    <n v="8"/>
    <n v="5"/>
    <s v="August"/>
    <s v="Saturday"/>
    <d v="2023-08-05T00:00:00"/>
    <s v="CUST035"/>
    <x v="1"/>
    <n v="58"/>
    <x v="2"/>
    <x v="0"/>
    <n v="3"/>
    <n v="300"/>
    <n v="900"/>
    <n v="13.5"/>
  </r>
  <r>
    <n v="36"/>
    <n v="2023"/>
    <n v="6"/>
    <n v="24"/>
    <s v="June"/>
    <s v="Saturday"/>
    <d v="2023-06-24T00:00:00"/>
    <s v="CUST036"/>
    <x v="0"/>
    <n v="52"/>
    <x v="2"/>
    <x v="0"/>
    <n v="3"/>
    <n v="300"/>
    <n v="900"/>
    <n v="13.5"/>
  </r>
  <r>
    <n v="37"/>
    <n v="2023"/>
    <n v="5"/>
    <n v="23"/>
    <s v="May"/>
    <s v="Tuesday"/>
    <d v="2023-05-23T00:00:00"/>
    <s v="CUST037"/>
    <x v="1"/>
    <n v="18"/>
    <x v="1"/>
    <x v="0"/>
    <n v="3"/>
    <n v="25"/>
    <n v="75"/>
    <n v="1.125"/>
  </r>
  <r>
    <n v="38"/>
    <n v="2023"/>
    <n v="3"/>
    <n v="21"/>
    <s v="March"/>
    <s v="Tuesday"/>
    <d v="2023-03-21T00:00:00"/>
    <s v="CUST038"/>
    <x v="0"/>
    <n v="38"/>
    <x v="0"/>
    <x v="0"/>
    <n v="4"/>
    <n v="50"/>
    <n v="200"/>
    <n v="3"/>
  </r>
  <r>
    <n v="39"/>
    <n v="2023"/>
    <n v="4"/>
    <n v="21"/>
    <s v="April"/>
    <s v="Friday"/>
    <d v="2023-04-21T00:00:00"/>
    <s v="CUST039"/>
    <x v="0"/>
    <n v="23"/>
    <x v="1"/>
    <x v="1"/>
    <n v="4"/>
    <n v="30"/>
    <n v="120"/>
    <n v="1.7999999999999998"/>
  </r>
  <r>
    <n v="40"/>
    <n v="2023"/>
    <n v="6"/>
    <n v="22"/>
    <s v="June"/>
    <s v="Thursday"/>
    <d v="2023-06-22T00:00:00"/>
    <s v="CUST040"/>
    <x v="0"/>
    <n v="45"/>
    <x v="0"/>
    <x v="0"/>
    <n v="1"/>
    <n v="50"/>
    <n v="50"/>
    <n v="0.75"/>
  </r>
  <r>
    <n v="41"/>
    <n v="2023"/>
    <n v="2"/>
    <n v="22"/>
    <s v="February"/>
    <s v="Wednesday"/>
    <d v="2023-02-22T00:00:00"/>
    <s v="CUST041"/>
    <x v="0"/>
    <n v="34"/>
    <x v="0"/>
    <x v="1"/>
    <n v="2"/>
    <n v="25"/>
    <n v="50"/>
    <n v="0.75"/>
  </r>
  <r>
    <n v="42"/>
    <n v="2023"/>
    <n v="2"/>
    <n v="17"/>
    <s v="February"/>
    <s v="Friday"/>
    <d v="2023-02-17T00:00:00"/>
    <s v="CUST042"/>
    <x v="0"/>
    <n v="22"/>
    <x v="1"/>
    <x v="1"/>
    <n v="3"/>
    <n v="300"/>
    <n v="900"/>
    <n v="13.5"/>
  </r>
  <r>
    <n v="43"/>
    <n v="2023"/>
    <n v="7"/>
    <n v="14"/>
    <s v="July"/>
    <s v="Friday"/>
    <d v="2023-07-14T00:00:00"/>
    <s v="CUST043"/>
    <x v="1"/>
    <n v="48"/>
    <x v="0"/>
    <x v="1"/>
    <n v="1"/>
    <n v="300"/>
    <n v="300"/>
    <n v="4.5"/>
  </r>
  <r>
    <n v="44"/>
    <n v="2023"/>
    <n v="2"/>
    <n v="19"/>
    <s v="February"/>
    <s v="Sunday"/>
    <d v="2023-02-19T00:00:00"/>
    <s v="CUST044"/>
    <x v="1"/>
    <n v="22"/>
    <x v="1"/>
    <x v="1"/>
    <n v="1"/>
    <n v="25"/>
    <n v="25"/>
    <n v="0.375"/>
  </r>
  <r>
    <n v="45"/>
    <n v="2023"/>
    <n v="7"/>
    <n v="3"/>
    <s v="July"/>
    <s v="Monday"/>
    <d v="2023-07-03T00:00:00"/>
    <s v="CUST045"/>
    <x v="1"/>
    <n v="55"/>
    <x v="2"/>
    <x v="2"/>
    <n v="1"/>
    <n v="30"/>
    <n v="30"/>
    <n v="0.44999999999999996"/>
  </r>
  <r>
    <n v="46"/>
    <n v="2023"/>
    <n v="6"/>
    <n v="26"/>
    <s v="June"/>
    <s v="Monday"/>
    <d v="2023-06-26T00:00:00"/>
    <s v="CUST046"/>
    <x v="1"/>
    <n v="20"/>
    <x v="1"/>
    <x v="2"/>
    <n v="4"/>
    <n v="300"/>
    <n v="1200"/>
    <n v="18"/>
  </r>
  <r>
    <n v="47"/>
    <n v="2023"/>
    <n v="11"/>
    <n v="6"/>
    <s v="November"/>
    <s v="Monday"/>
    <d v="2023-11-06T00:00:00"/>
    <s v="CUST047"/>
    <x v="1"/>
    <n v="40"/>
    <x v="0"/>
    <x v="0"/>
    <n v="3"/>
    <n v="500"/>
    <n v="1500"/>
    <n v="22.5"/>
  </r>
  <r>
    <n v="48"/>
    <n v="2023"/>
    <n v="5"/>
    <n v="16"/>
    <s v="May"/>
    <s v="Tuesday"/>
    <d v="2023-05-16T00:00:00"/>
    <s v="CUST048"/>
    <x v="0"/>
    <n v="54"/>
    <x v="2"/>
    <x v="2"/>
    <n v="3"/>
    <n v="300"/>
    <n v="900"/>
    <n v="13.5"/>
  </r>
  <r>
    <n v="49"/>
    <n v="2023"/>
    <n v="1"/>
    <n v="23"/>
    <s v="January"/>
    <s v="Monday"/>
    <d v="2023-01-23T00:00:00"/>
    <s v="CUST049"/>
    <x v="1"/>
    <n v="54"/>
    <x v="2"/>
    <x v="2"/>
    <n v="2"/>
    <n v="500"/>
    <n v="1000"/>
    <n v="15"/>
  </r>
  <r>
    <n v="50"/>
    <n v="2023"/>
    <n v="8"/>
    <n v="24"/>
    <s v="August"/>
    <s v="Thursday"/>
    <d v="2023-08-24T00:00:00"/>
    <s v="CUST050"/>
    <x v="1"/>
    <n v="27"/>
    <x v="1"/>
    <x v="0"/>
    <n v="3"/>
    <n v="25"/>
    <n v="75"/>
    <n v="1.125"/>
  </r>
  <r>
    <n v="51"/>
    <n v="2023"/>
    <n v="10"/>
    <n v="2"/>
    <s v="October"/>
    <s v="Monday"/>
    <d v="2023-10-02T00:00:00"/>
    <s v="CUST051"/>
    <x v="0"/>
    <n v="27"/>
    <x v="1"/>
    <x v="0"/>
    <n v="3"/>
    <n v="25"/>
    <n v="75"/>
    <n v="1.125"/>
  </r>
  <r>
    <n v="52"/>
    <n v="2023"/>
    <n v="3"/>
    <n v="5"/>
    <s v="March"/>
    <s v="Sunday"/>
    <d v="2023-03-05T00:00:00"/>
    <s v="CUST052"/>
    <x v="1"/>
    <n v="36"/>
    <x v="0"/>
    <x v="0"/>
    <n v="1"/>
    <n v="300"/>
    <n v="300"/>
    <n v="4.5"/>
  </r>
  <r>
    <n v="53"/>
    <n v="2023"/>
    <n v="7"/>
    <n v="13"/>
    <s v="July"/>
    <s v="Thursday"/>
    <d v="2023-07-13T00:00:00"/>
    <s v="CUST053"/>
    <x v="0"/>
    <n v="34"/>
    <x v="0"/>
    <x v="2"/>
    <n v="2"/>
    <n v="50"/>
    <n v="100"/>
    <n v="1.5"/>
  </r>
  <r>
    <n v="54"/>
    <n v="2023"/>
    <n v="2"/>
    <n v="10"/>
    <s v="February"/>
    <s v="Friday"/>
    <d v="2023-02-10T00:00:00"/>
    <s v="CUST054"/>
    <x v="1"/>
    <n v="38"/>
    <x v="0"/>
    <x v="2"/>
    <n v="3"/>
    <n v="500"/>
    <n v="1500"/>
    <n v="22.5"/>
  </r>
  <r>
    <n v="55"/>
    <n v="2023"/>
    <n v="10"/>
    <n v="10"/>
    <s v="October"/>
    <s v="Tuesday"/>
    <d v="2023-10-10T00:00:00"/>
    <s v="CUST055"/>
    <x v="0"/>
    <n v="31"/>
    <x v="0"/>
    <x v="0"/>
    <n v="4"/>
    <n v="30"/>
    <n v="120"/>
    <n v="1.7999999999999998"/>
  </r>
  <r>
    <n v="56"/>
    <n v="2023"/>
    <n v="5"/>
    <n v="31"/>
    <s v="May"/>
    <s v="Wednesday"/>
    <d v="2023-05-31T00:00:00"/>
    <s v="CUST056"/>
    <x v="1"/>
    <n v="26"/>
    <x v="1"/>
    <x v="1"/>
    <n v="3"/>
    <n v="300"/>
    <n v="900"/>
    <n v="13.5"/>
  </r>
  <r>
    <n v="57"/>
    <n v="2023"/>
    <n v="11"/>
    <n v="18"/>
    <s v="November"/>
    <s v="Saturday"/>
    <d v="2023-11-18T00:00:00"/>
    <s v="CUST057"/>
    <x v="1"/>
    <n v="63"/>
    <x v="2"/>
    <x v="0"/>
    <n v="1"/>
    <n v="30"/>
    <n v="30"/>
    <n v="0.44999999999999996"/>
  </r>
  <r>
    <n v="58"/>
    <n v="2023"/>
    <n v="11"/>
    <n v="13"/>
    <s v="November"/>
    <s v="Monday"/>
    <d v="2023-11-13T00:00:00"/>
    <s v="CUST058"/>
    <x v="0"/>
    <n v="18"/>
    <x v="1"/>
    <x v="1"/>
    <n v="4"/>
    <n v="300"/>
    <n v="1200"/>
    <n v="18"/>
  </r>
  <r>
    <n v="59"/>
    <n v="2023"/>
    <n v="7"/>
    <n v="5"/>
    <s v="July"/>
    <s v="Wednesday"/>
    <d v="2023-07-05T00:00:00"/>
    <s v="CUST059"/>
    <x v="0"/>
    <n v="62"/>
    <x v="2"/>
    <x v="1"/>
    <n v="1"/>
    <n v="50"/>
    <n v="50"/>
    <n v="0.75"/>
  </r>
  <r>
    <n v="60"/>
    <n v="2023"/>
    <n v="10"/>
    <n v="23"/>
    <s v="October"/>
    <s v="Monday"/>
    <d v="2023-10-23T00:00:00"/>
    <s v="CUST060"/>
    <x v="0"/>
    <n v="30"/>
    <x v="0"/>
    <x v="0"/>
    <n v="3"/>
    <n v="50"/>
    <n v="150"/>
    <n v="2.25"/>
  </r>
  <r>
    <n v="61"/>
    <n v="2023"/>
    <n v="4"/>
    <n v="9"/>
    <s v="April"/>
    <s v="Sunday"/>
    <d v="2023-04-09T00:00:00"/>
    <s v="CUST061"/>
    <x v="0"/>
    <n v="21"/>
    <x v="1"/>
    <x v="0"/>
    <n v="4"/>
    <n v="50"/>
    <n v="200"/>
    <n v="3"/>
  </r>
  <r>
    <n v="62"/>
    <n v="2023"/>
    <n v="12"/>
    <n v="27"/>
    <s v="December"/>
    <s v="Wednesday"/>
    <d v="2023-12-27T00:00:00"/>
    <s v="CUST062"/>
    <x v="0"/>
    <n v="18"/>
    <x v="1"/>
    <x v="0"/>
    <n v="2"/>
    <n v="50"/>
    <n v="100"/>
    <n v="1.5"/>
  </r>
  <r>
    <n v="63"/>
    <n v="2023"/>
    <n v="2"/>
    <n v="5"/>
    <s v="February"/>
    <s v="Sunday"/>
    <d v="2023-02-05T00:00:00"/>
    <s v="CUST063"/>
    <x v="0"/>
    <n v="57"/>
    <x v="2"/>
    <x v="2"/>
    <n v="2"/>
    <n v="25"/>
    <n v="50"/>
    <n v="0.75"/>
  </r>
  <r>
    <n v="64"/>
    <n v="2023"/>
    <n v="1"/>
    <n v="24"/>
    <s v="January"/>
    <s v="Tuesday"/>
    <d v="2023-01-24T00:00:00"/>
    <s v="CUST064"/>
    <x v="0"/>
    <n v="49"/>
    <x v="0"/>
    <x v="1"/>
    <n v="4"/>
    <n v="25"/>
    <n v="100"/>
    <n v="1.5"/>
  </r>
  <r>
    <n v="65"/>
    <n v="2023"/>
    <n v="12"/>
    <n v="5"/>
    <s v="December"/>
    <s v="Tuesday"/>
    <d v="2023-12-05T00:00:00"/>
    <s v="CUST065"/>
    <x v="0"/>
    <n v="51"/>
    <x v="2"/>
    <x v="2"/>
    <n v="4"/>
    <n v="500"/>
    <n v="2000"/>
    <n v="30"/>
  </r>
  <r>
    <n v="66"/>
    <n v="2023"/>
    <n v="4"/>
    <n v="27"/>
    <s v="April"/>
    <s v="Thursday"/>
    <d v="2023-04-27T00:00:00"/>
    <s v="CUST066"/>
    <x v="1"/>
    <n v="45"/>
    <x v="0"/>
    <x v="2"/>
    <n v="1"/>
    <n v="30"/>
    <n v="30"/>
    <n v="0.44999999999999996"/>
  </r>
  <r>
    <n v="67"/>
    <n v="2023"/>
    <n v="5"/>
    <n v="29"/>
    <s v="May"/>
    <s v="Monday"/>
    <d v="2023-05-29T00:00:00"/>
    <s v="CUST067"/>
    <x v="1"/>
    <n v="48"/>
    <x v="0"/>
    <x v="0"/>
    <n v="4"/>
    <n v="300"/>
    <n v="1200"/>
    <n v="18"/>
  </r>
  <r>
    <n v="68"/>
    <n v="2023"/>
    <n v="2"/>
    <n v="10"/>
    <s v="February"/>
    <s v="Friday"/>
    <d v="2023-02-10T00:00:00"/>
    <s v="CUST068"/>
    <x v="0"/>
    <n v="25"/>
    <x v="1"/>
    <x v="2"/>
    <n v="1"/>
    <n v="300"/>
    <n v="300"/>
    <n v="4.5"/>
  </r>
  <r>
    <n v="69"/>
    <n v="2023"/>
    <n v="4"/>
    <n v="30"/>
    <s v="April"/>
    <s v="Sunday"/>
    <d v="2023-04-30T00:00:00"/>
    <s v="CUST069"/>
    <x v="1"/>
    <n v="56"/>
    <x v="2"/>
    <x v="0"/>
    <n v="3"/>
    <n v="25"/>
    <n v="75"/>
    <n v="1.125"/>
  </r>
  <r>
    <n v="70"/>
    <n v="2023"/>
    <n v="2"/>
    <n v="21"/>
    <s v="February"/>
    <s v="Tuesday"/>
    <d v="2023-02-21T00:00:00"/>
    <s v="CUST070"/>
    <x v="1"/>
    <n v="43"/>
    <x v="0"/>
    <x v="1"/>
    <n v="1"/>
    <n v="300"/>
    <n v="300"/>
    <n v="4.5"/>
  </r>
  <r>
    <n v="71"/>
    <n v="2023"/>
    <n v="7"/>
    <n v="14"/>
    <s v="July"/>
    <s v="Friday"/>
    <d v="2023-07-14T00:00:00"/>
    <s v="CUST071"/>
    <x v="1"/>
    <n v="51"/>
    <x v="2"/>
    <x v="0"/>
    <n v="4"/>
    <n v="25"/>
    <n v="100"/>
    <n v="1.5"/>
  </r>
  <r>
    <n v="72"/>
    <n v="2023"/>
    <n v="5"/>
    <n v="23"/>
    <s v="May"/>
    <s v="Tuesday"/>
    <d v="2023-05-23T00:00:00"/>
    <s v="CUST072"/>
    <x v="1"/>
    <n v="20"/>
    <x v="1"/>
    <x v="2"/>
    <n v="4"/>
    <n v="500"/>
    <n v="2000"/>
    <n v="30"/>
  </r>
  <r>
    <n v="73"/>
    <n v="2023"/>
    <n v="8"/>
    <n v="21"/>
    <s v="August"/>
    <s v="Monday"/>
    <d v="2023-08-21T00:00:00"/>
    <s v="CUST073"/>
    <x v="0"/>
    <n v="29"/>
    <x v="1"/>
    <x v="2"/>
    <n v="3"/>
    <n v="30"/>
    <n v="90"/>
    <n v="1.3499999999999999"/>
  </r>
  <r>
    <n v="74"/>
    <n v="2023"/>
    <n v="11"/>
    <n v="22"/>
    <s v="November"/>
    <s v="Wednesday"/>
    <d v="2023-11-22T00:00:00"/>
    <s v="CUST074"/>
    <x v="1"/>
    <n v="18"/>
    <x v="1"/>
    <x v="0"/>
    <n v="4"/>
    <n v="500"/>
    <n v="2000"/>
    <n v="30"/>
  </r>
  <r>
    <n v="75"/>
    <n v="2023"/>
    <n v="7"/>
    <n v="6"/>
    <s v="July"/>
    <s v="Thursday"/>
    <d v="2023-07-06T00:00:00"/>
    <s v="CUST075"/>
    <x v="0"/>
    <n v="61"/>
    <x v="2"/>
    <x v="0"/>
    <n v="4"/>
    <n v="50"/>
    <n v="200"/>
    <n v="3"/>
  </r>
  <r>
    <n v="76"/>
    <n v="2023"/>
    <n v="3"/>
    <n v="25"/>
    <s v="March"/>
    <s v="Saturday"/>
    <d v="2023-03-25T00:00:00"/>
    <s v="CUST076"/>
    <x v="1"/>
    <n v="22"/>
    <x v="1"/>
    <x v="2"/>
    <n v="2"/>
    <n v="50"/>
    <n v="100"/>
    <n v="1.5"/>
  </r>
  <r>
    <n v="77"/>
    <n v="2023"/>
    <n v="7"/>
    <n v="9"/>
    <s v="July"/>
    <s v="Sunday"/>
    <d v="2023-07-09T00:00:00"/>
    <s v="CUST077"/>
    <x v="1"/>
    <n v="47"/>
    <x v="0"/>
    <x v="1"/>
    <n v="2"/>
    <n v="50"/>
    <n v="100"/>
    <n v="1.5"/>
  </r>
  <r>
    <n v="78"/>
    <n v="2023"/>
    <n v="7"/>
    <n v="1"/>
    <s v="July"/>
    <s v="Saturday"/>
    <d v="2023-07-01T00:00:00"/>
    <s v="CUST078"/>
    <x v="1"/>
    <n v="47"/>
    <x v="0"/>
    <x v="1"/>
    <n v="3"/>
    <n v="500"/>
    <n v="1500"/>
    <n v="22.5"/>
  </r>
  <r>
    <n v="79"/>
    <n v="2023"/>
    <n v="4"/>
    <n v="18"/>
    <s v="April"/>
    <s v="Tuesday"/>
    <d v="2023-04-18T00:00:00"/>
    <s v="CUST079"/>
    <x v="0"/>
    <n v="34"/>
    <x v="0"/>
    <x v="0"/>
    <n v="1"/>
    <n v="300"/>
    <n v="300"/>
    <n v="4.5"/>
  </r>
  <r>
    <n v="80"/>
    <n v="2023"/>
    <n v="12"/>
    <n v="10"/>
    <s v="December"/>
    <s v="Sunday"/>
    <d v="2023-12-10T00:00:00"/>
    <s v="CUST080"/>
    <x v="1"/>
    <n v="64"/>
    <x v="2"/>
    <x v="1"/>
    <n v="2"/>
    <n v="30"/>
    <n v="60"/>
    <n v="0.89999999999999991"/>
  </r>
  <r>
    <n v="81"/>
    <n v="2023"/>
    <n v="5"/>
    <n v="17"/>
    <s v="May"/>
    <s v="Wednesday"/>
    <d v="2023-05-17T00:00:00"/>
    <s v="CUST081"/>
    <x v="0"/>
    <n v="40"/>
    <x v="0"/>
    <x v="2"/>
    <n v="1"/>
    <n v="50"/>
    <n v="50"/>
    <n v="0.75"/>
  </r>
  <r>
    <n v="82"/>
    <n v="2023"/>
    <n v="12"/>
    <n v="26"/>
    <s v="December"/>
    <s v="Tuesday"/>
    <d v="2023-12-26T00:00:00"/>
    <s v="CUST082"/>
    <x v="1"/>
    <n v="32"/>
    <x v="0"/>
    <x v="0"/>
    <n v="4"/>
    <n v="50"/>
    <n v="200"/>
    <n v="3"/>
  </r>
  <r>
    <n v="83"/>
    <n v="2023"/>
    <n v="12"/>
    <n v="16"/>
    <s v="December"/>
    <s v="Saturday"/>
    <d v="2023-12-16T00:00:00"/>
    <s v="CUST083"/>
    <x v="0"/>
    <n v="54"/>
    <x v="2"/>
    <x v="2"/>
    <n v="2"/>
    <n v="50"/>
    <n v="100"/>
    <n v="1.5"/>
  </r>
  <r>
    <n v="84"/>
    <n v="2023"/>
    <n v="11"/>
    <n v="28"/>
    <s v="November"/>
    <s v="Tuesday"/>
    <d v="2023-11-28T00:00:00"/>
    <s v="CUST084"/>
    <x v="1"/>
    <n v="38"/>
    <x v="0"/>
    <x v="2"/>
    <n v="3"/>
    <n v="30"/>
    <n v="90"/>
    <n v="1.3499999999999999"/>
  </r>
  <r>
    <n v="85"/>
    <n v="2023"/>
    <n v="2"/>
    <n v="6"/>
    <s v="February"/>
    <s v="Monday"/>
    <d v="2023-02-06T00:00:00"/>
    <s v="CUST085"/>
    <x v="0"/>
    <n v="31"/>
    <x v="0"/>
    <x v="1"/>
    <n v="3"/>
    <n v="50"/>
    <n v="150"/>
    <n v="2.25"/>
  </r>
  <r>
    <n v="86"/>
    <n v="2023"/>
    <n v="11"/>
    <n v="8"/>
    <s v="November"/>
    <s v="Wednesday"/>
    <d v="2023-11-08T00:00:00"/>
    <s v="CUST086"/>
    <x v="0"/>
    <n v="19"/>
    <x v="1"/>
    <x v="0"/>
    <n v="3"/>
    <n v="30"/>
    <n v="90"/>
    <n v="1.3499999999999999"/>
  </r>
  <r>
    <n v="87"/>
    <n v="2023"/>
    <n v="11"/>
    <n v="22"/>
    <s v="November"/>
    <s v="Wednesday"/>
    <d v="2023-11-22T00:00:00"/>
    <s v="CUST087"/>
    <x v="1"/>
    <n v="28"/>
    <x v="1"/>
    <x v="0"/>
    <n v="2"/>
    <n v="50"/>
    <n v="100"/>
    <n v="1.5"/>
  </r>
  <r>
    <n v="88"/>
    <n v="2023"/>
    <n v="3"/>
    <n v="29"/>
    <s v="March"/>
    <s v="Wednesday"/>
    <d v="2023-03-29T00:00:00"/>
    <s v="CUST088"/>
    <x v="0"/>
    <n v="56"/>
    <x v="2"/>
    <x v="1"/>
    <n v="1"/>
    <n v="500"/>
    <n v="500"/>
    <n v="7.5"/>
  </r>
  <r>
    <n v="89"/>
    <n v="2023"/>
    <n v="10"/>
    <n v="1"/>
    <s v="October"/>
    <s v="Sunday"/>
    <d v="2023-10-01T00:00:00"/>
    <s v="CUST089"/>
    <x v="1"/>
    <n v="55"/>
    <x v="2"/>
    <x v="2"/>
    <n v="4"/>
    <n v="500"/>
    <n v="2000"/>
    <n v="30"/>
  </r>
  <r>
    <n v="90"/>
    <n v="2023"/>
    <n v="5"/>
    <n v="6"/>
    <s v="May"/>
    <s v="Saturday"/>
    <d v="2023-05-06T00:00:00"/>
    <s v="CUST090"/>
    <x v="1"/>
    <n v="51"/>
    <x v="2"/>
    <x v="2"/>
    <n v="1"/>
    <n v="30"/>
    <n v="30"/>
    <n v="0.44999999999999996"/>
  </r>
  <r>
    <n v="91"/>
    <n v="2023"/>
    <n v="3"/>
    <n v="25"/>
    <s v="March"/>
    <s v="Saturday"/>
    <d v="2023-03-25T00:00:00"/>
    <s v="CUST091"/>
    <x v="1"/>
    <n v="55"/>
    <x v="2"/>
    <x v="2"/>
    <n v="1"/>
    <n v="500"/>
    <n v="500"/>
    <n v="7.5"/>
  </r>
  <r>
    <n v="92"/>
    <n v="2023"/>
    <n v="8"/>
    <n v="25"/>
    <s v="August"/>
    <s v="Friday"/>
    <d v="2023-08-25T00:00:00"/>
    <s v="CUST092"/>
    <x v="1"/>
    <n v="51"/>
    <x v="2"/>
    <x v="2"/>
    <n v="4"/>
    <n v="30"/>
    <n v="120"/>
    <n v="1.7999999999999998"/>
  </r>
  <r>
    <n v="93"/>
    <n v="2023"/>
    <n v="7"/>
    <n v="14"/>
    <s v="July"/>
    <s v="Friday"/>
    <d v="2023-07-14T00:00:00"/>
    <s v="CUST093"/>
    <x v="1"/>
    <n v="35"/>
    <x v="0"/>
    <x v="0"/>
    <n v="4"/>
    <n v="500"/>
    <n v="2000"/>
    <n v="30"/>
  </r>
  <r>
    <n v="94"/>
    <n v="2023"/>
    <n v="5"/>
    <n v="19"/>
    <s v="May"/>
    <s v="Friday"/>
    <d v="2023-05-19T00:00:00"/>
    <s v="CUST094"/>
    <x v="1"/>
    <n v="47"/>
    <x v="0"/>
    <x v="0"/>
    <n v="2"/>
    <n v="500"/>
    <n v="1000"/>
    <n v="15"/>
  </r>
  <r>
    <n v="95"/>
    <n v="2023"/>
    <n v="11"/>
    <n v="24"/>
    <s v="November"/>
    <s v="Friday"/>
    <d v="2023-11-24T00:00:00"/>
    <s v="CUST095"/>
    <x v="1"/>
    <n v="32"/>
    <x v="0"/>
    <x v="1"/>
    <n v="2"/>
    <n v="30"/>
    <n v="60"/>
    <n v="0.89999999999999991"/>
  </r>
  <r>
    <n v="96"/>
    <n v="2023"/>
    <n v="12"/>
    <n v="19"/>
    <s v="December"/>
    <s v="Tuesday"/>
    <d v="2023-12-19T00:00:00"/>
    <s v="CUST096"/>
    <x v="1"/>
    <n v="44"/>
    <x v="0"/>
    <x v="1"/>
    <n v="2"/>
    <n v="300"/>
    <n v="600"/>
    <n v="9"/>
  </r>
  <r>
    <n v="97"/>
    <n v="2023"/>
    <n v="10"/>
    <n v="13"/>
    <s v="October"/>
    <s v="Friday"/>
    <d v="2023-10-13T00:00:00"/>
    <s v="CUST097"/>
    <x v="1"/>
    <n v="51"/>
    <x v="2"/>
    <x v="0"/>
    <n v="2"/>
    <n v="500"/>
    <n v="1000"/>
    <n v="15"/>
  </r>
  <r>
    <n v="98"/>
    <n v="2023"/>
    <n v="4"/>
    <n v="23"/>
    <s v="April"/>
    <s v="Sunday"/>
    <d v="2023-04-23T00:00:00"/>
    <s v="CUST098"/>
    <x v="1"/>
    <n v="55"/>
    <x v="2"/>
    <x v="0"/>
    <n v="2"/>
    <n v="50"/>
    <n v="100"/>
    <n v="1.5"/>
  </r>
  <r>
    <n v="99"/>
    <n v="2023"/>
    <n v="12"/>
    <n v="17"/>
    <s v="December"/>
    <s v="Sunday"/>
    <d v="2023-12-17T00:00:00"/>
    <s v="CUST099"/>
    <x v="1"/>
    <n v="50"/>
    <x v="2"/>
    <x v="2"/>
    <n v="4"/>
    <n v="300"/>
    <n v="1200"/>
    <n v="18"/>
  </r>
  <r>
    <n v="100"/>
    <n v="2023"/>
    <n v="6"/>
    <n v="16"/>
    <s v="June"/>
    <s v="Friday"/>
    <d v="2023-06-16T00:00:00"/>
    <s v="CUST100"/>
    <x v="0"/>
    <n v="41"/>
    <x v="0"/>
    <x v="2"/>
    <n v="1"/>
    <n v="30"/>
    <n v="30"/>
    <n v="0.44999999999999996"/>
  </r>
  <r>
    <n v="101"/>
    <n v="2023"/>
    <n v="1"/>
    <n v="29"/>
    <s v="January"/>
    <s v="Sunday"/>
    <d v="2023-01-29T00:00:00"/>
    <s v="CUST101"/>
    <x v="0"/>
    <n v="32"/>
    <x v="0"/>
    <x v="1"/>
    <n v="2"/>
    <n v="300"/>
    <n v="600"/>
    <n v="9"/>
  </r>
  <r>
    <n v="102"/>
    <n v="2023"/>
    <n v="4"/>
    <n v="28"/>
    <s v="April"/>
    <s v="Friday"/>
    <d v="2023-04-28T00:00:00"/>
    <s v="CUST102"/>
    <x v="1"/>
    <n v="47"/>
    <x v="0"/>
    <x v="0"/>
    <n v="2"/>
    <n v="25"/>
    <n v="50"/>
    <n v="0.75"/>
  </r>
  <r>
    <n v="103"/>
    <n v="2023"/>
    <n v="1"/>
    <n v="17"/>
    <s v="January"/>
    <s v="Tuesday"/>
    <d v="2023-01-17T00:00:00"/>
    <s v="CUST103"/>
    <x v="1"/>
    <n v="59"/>
    <x v="2"/>
    <x v="1"/>
    <n v="1"/>
    <n v="25"/>
    <n v="25"/>
    <n v="0.375"/>
  </r>
  <r>
    <n v="104"/>
    <n v="2023"/>
    <n v="6"/>
    <n v="11"/>
    <s v="June"/>
    <s v="Sunday"/>
    <d v="2023-06-11T00:00:00"/>
    <s v="CUST104"/>
    <x v="1"/>
    <n v="34"/>
    <x v="0"/>
    <x v="0"/>
    <n v="2"/>
    <n v="500"/>
    <n v="1000"/>
    <n v="15"/>
  </r>
  <r>
    <n v="105"/>
    <n v="2023"/>
    <n v="7"/>
    <n v="25"/>
    <s v="July"/>
    <s v="Tuesday"/>
    <d v="2023-07-25T00:00:00"/>
    <s v="CUST105"/>
    <x v="1"/>
    <n v="22"/>
    <x v="1"/>
    <x v="2"/>
    <n v="1"/>
    <n v="500"/>
    <n v="500"/>
    <n v="7.5"/>
  </r>
  <r>
    <n v="106"/>
    <n v="2023"/>
    <n v="5"/>
    <n v="18"/>
    <s v="May"/>
    <s v="Thursday"/>
    <d v="2023-05-18T00:00:00"/>
    <s v="CUST106"/>
    <x v="1"/>
    <n v="46"/>
    <x v="0"/>
    <x v="1"/>
    <n v="1"/>
    <n v="50"/>
    <n v="50"/>
    <n v="0.75"/>
  </r>
  <r>
    <n v="107"/>
    <n v="2023"/>
    <n v="2"/>
    <n v="3"/>
    <s v="February"/>
    <s v="Friday"/>
    <d v="2023-02-03T00:00:00"/>
    <s v="CUST107"/>
    <x v="1"/>
    <n v="21"/>
    <x v="1"/>
    <x v="1"/>
    <n v="4"/>
    <n v="300"/>
    <n v="1200"/>
    <n v="18"/>
  </r>
  <r>
    <n v="108"/>
    <n v="2023"/>
    <n v="4"/>
    <n v="19"/>
    <s v="April"/>
    <s v="Wednesday"/>
    <d v="2023-04-19T00:00:00"/>
    <s v="CUST108"/>
    <x v="1"/>
    <n v="27"/>
    <x v="1"/>
    <x v="0"/>
    <n v="3"/>
    <n v="25"/>
    <n v="75"/>
    <n v="1.125"/>
  </r>
  <r>
    <n v="109"/>
    <n v="2023"/>
    <n v="10"/>
    <n v="18"/>
    <s v="October"/>
    <s v="Wednesday"/>
    <d v="2023-10-18T00:00:00"/>
    <s v="CUST109"/>
    <x v="1"/>
    <n v="34"/>
    <x v="0"/>
    <x v="2"/>
    <n v="4"/>
    <n v="500"/>
    <n v="2000"/>
    <n v="30"/>
  </r>
  <r>
    <n v="110"/>
    <n v="2023"/>
    <n v="6"/>
    <n v="11"/>
    <s v="June"/>
    <s v="Sunday"/>
    <d v="2023-06-11T00:00:00"/>
    <s v="CUST110"/>
    <x v="0"/>
    <n v="27"/>
    <x v="1"/>
    <x v="1"/>
    <n v="3"/>
    <n v="300"/>
    <n v="900"/>
    <n v="13.5"/>
  </r>
  <r>
    <n v="111"/>
    <n v="2023"/>
    <n v="4"/>
    <n v="19"/>
    <s v="April"/>
    <s v="Wednesday"/>
    <d v="2023-04-19T00:00:00"/>
    <s v="CUST111"/>
    <x v="1"/>
    <n v="34"/>
    <x v="0"/>
    <x v="2"/>
    <n v="3"/>
    <n v="500"/>
    <n v="1500"/>
    <n v="22.5"/>
  </r>
  <r>
    <n v="112"/>
    <n v="2023"/>
    <n v="12"/>
    <n v="2"/>
    <s v="December"/>
    <s v="Saturday"/>
    <d v="2023-12-02T00:00:00"/>
    <s v="CUST112"/>
    <x v="0"/>
    <n v="37"/>
    <x v="0"/>
    <x v="1"/>
    <n v="3"/>
    <n v="500"/>
    <n v="1500"/>
    <n v="22.5"/>
  </r>
  <r>
    <n v="113"/>
    <n v="2023"/>
    <n v="9"/>
    <n v="13"/>
    <s v="September"/>
    <s v="Wednesday"/>
    <d v="2023-09-13T00:00:00"/>
    <s v="CUST113"/>
    <x v="1"/>
    <n v="41"/>
    <x v="0"/>
    <x v="2"/>
    <n v="2"/>
    <n v="25"/>
    <n v="50"/>
    <n v="0.75"/>
  </r>
  <r>
    <n v="114"/>
    <n v="2023"/>
    <n v="7"/>
    <n v="22"/>
    <s v="July"/>
    <s v="Saturday"/>
    <d v="2023-07-22T00:00:00"/>
    <s v="CUST114"/>
    <x v="1"/>
    <n v="22"/>
    <x v="1"/>
    <x v="0"/>
    <n v="4"/>
    <n v="25"/>
    <n v="100"/>
    <n v="1.5"/>
  </r>
  <r>
    <n v="115"/>
    <n v="2023"/>
    <n v="11"/>
    <n v="26"/>
    <s v="November"/>
    <s v="Sunday"/>
    <d v="2023-11-26T00:00:00"/>
    <s v="CUST115"/>
    <x v="0"/>
    <n v="51"/>
    <x v="2"/>
    <x v="1"/>
    <n v="3"/>
    <n v="500"/>
    <n v="1500"/>
    <n v="22.5"/>
  </r>
  <r>
    <n v="116"/>
    <n v="2023"/>
    <n v="8"/>
    <n v="23"/>
    <s v="August"/>
    <s v="Wednesday"/>
    <d v="2023-08-23T00:00:00"/>
    <s v="CUST116"/>
    <x v="1"/>
    <n v="23"/>
    <x v="1"/>
    <x v="1"/>
    <n v="1"/>
    <n v="30"/>
    <n v="30"/>
    <n v="0.44999999999999996"/>
  </r>
  <r>
    <n v="117"/>
    <n v="2023"/>
    <n v="3"/>
    <n v="15"/>
    <s v="March"/>
    <s v="Wednesday"/>
    <d v="2023-03-15T00:00:00"/>
    <s v="CUST117"/>
    <x v="0"/>
    <n v="19"/>
    <x v="1"/>
    <x v="2"/>
    <n v="2"/>
    <n v="500"/>
    <n v="1000"/>
    <n v="15"/>
  </r>
  <r>
    <n v="118"/>
    <n v="2023"/>
    <n v="5"/>
    <n v="16"/>
    <s v="May"/>
    <s v="Tuesday"/>
    <d v="2023-05-16T00:00:00"/>
    <s v="CUST118"/>
    <x v="1"/>
    <n v="30"/>
    <x v="0"/>
    <x v="2"/>
    <n v="4"/>
    <n v="500"/>
    <n v="2000"/>
    <n v="30"/>
  </r>
  <r>
    <n v="119"/>
    <n v="2023"/>
    <n v="3"/>
    <n v="13"/>
    <s v="March"/>
    <s v="Monday"/>
    <d v="2023-03-13T00:00:00"/>
    <s v="CUST119"/>
    <x v="1"/>
    <n v="60"/>
    <x v="2"/>
    <x v="1"/>
    <n v="3"/>
    <n v="50"/>
    <n v="150"/>
    <n v="2.25"/>
  </r>
  <r>
    <n v="120"/>
    <n v="2023"/>
    <n v="5"/>
    <n v="7"/>
    <s v="May"/>
    <s v="Sunday"/>
    <d v="2023-05-07T00:00:00"/>
    <s v="CUST120"/>
    <x v="0"/>
    <n v="60"/>
    <x v="2"/>
    <x v="0"/>
    <n v="1"/>
    <n v="50"/>
    <n v="50"/>
    <n v="0.75"/>
  </r>
  <r>
    <n v="121"/>
    <n v="2023"/>
    <n v="10"/>
    <n v="15"/>
    <s v="October"/>
    <s v="Sunday"/>
    <d v="2023-10-15T00:00:00"/>
    <s v="CUST121"/>
    <x v="1"/>
    <n v="28"/>
    <x v="1"/>
    <x v="2"/>
    <n v="4"/>
    <n v="50"/>
    <n v="200"/>
    <n v="3"/>
  </r>
  <r>
    <n v="122"/>
    <n v="2023"/>
    <n v="10"/>
    <n v="3"/>
    <s v="October"/>
    <s v="Tuesday"/>
    <d v="2023-10-03T00:00:00"/>
    <s v="CUST122"/>
    <x v="0"/>
    <n v="64"/>
    <x v="2"/>
    <x v="2"/>
    <n v="4"/>
    <n v="30"/>
    <n v="120"/>
    <n v="1.7999999999999998"/>
  </r>
  <r>
    <n v="123"/>
    <n v="2023"/>
    <n v="5"/>
    <n v="15"/>
    <s v="May"/>
    <s v="Monday"/>
    <d v="2023-05-15T00:00:00"/>
    <s v="CUST123"/>
    <x v="1"/>
    <n v="40"/>
    <x v="0"/>
    <x v="2"/>
    <n v="2"/>
    <n v="30"/>
    <n v="60"/>
    <n v="0.89999999999999991"/>
  </r>
  <r>
    <n v="124"/>
    <n v="2023"/>
    <n v="10"/>
    <n v="27"/>
    <s v="October"/>
    <s v="Friday"/>
    <d v="2023-10-27T00:00:00"/>
    <s v="CUST124"/>
    <x v="0"/>
    <n v="33"/>
    <x v="0"/>
    <x v="1"/>
    <n v="4"/>
    <n v="500"/>
    <n v="2000"/>
    <n v="30"/>
  </r>
  <r>
    <n v="125"/>
    <n v="2023"/>
    <n v="8"/>
    <n v="8"/>
    <s v="August"/>
    <s v="Tuesday"/>
    <d v="2023-08-08T00:00:00"/>
    <s v="CUST125"/>
    <x v="0"/>
    <n v="48"/>
    <x v="0"/>
    <x v="1"/>
    <n v="2"/>
    <n v="50"/>
    <n v="100"/>
    <n v="1.5"/>
  </r>
  <r>
    <n v="126"/>
    <n v="2023"/>
    <n v="10"/>
    <n v="26"/>
    <s v="October"/>
    <s v="Thursday"/>
    <d v="2023-10-26T00:00:00"/>
    <s v="CUST126"/>
    <x v="1"/>
    <n v="28"/>
    <x v="1"/>
    <x v="1"/>
    <n v="3"/>
    <n v="30"/>
    <n v="90"/>
    <n v="1.3499999999999999"/>
  </r>
  <r>
    <n v="127"/>
    <n v="2023"/>
    <n v="7"/>
    <n v="24"/>
    <s v="July"/>
    <s v="Monday"/>
    <d v="2023-07-24T00:00:00"/>
    <s v="CUST127"/>
    <x v="1"/>
    <n v="33"/>
    <x v="0"/>
    <x v="1"/>
    <n v="2"/>
    <n v="25"/>
    <n v="50"/>
    <n v="0.75"/>
  </r>
  <r>
    <n v="128"/>
    <n v="2023"/>
    <n v="7"/>
    <n v="5"/>
    <s v="July"/>
    <s v="Wednesday"/>
    <d v="2023-07-05T00:00:00"/>
    <s v="CUST128"/>
    <x v="0"/>
    <n v="25"/>
    <x v="1"/>
    <x v="0"/>
    <n v="1"/>
    <n v="500"/>
    <n v="500"/>
    <n v="7.5"/>
  </r>
  <r>
    <n v="129"/>
    <n v="2023"/>
    <n v="4"/>
    <n v="23"/>
    <s v="April"/>
    <s v="Sunday"/>
    <d v="2023-04-23T00:00:00"/>
    <s v="CUST129"/>
    <x v="1"/>
    <n v="21"/>
    <x v="1"/>
    <x v="0"/>
    <n v="2"/>
    <n v="300"/>
    <n v="600"/>
    <n v="9"/>
  </r>
  <r>
    <n v="130"/>
    <n v="2023"/>
    <n v="3"/>
    <n v="12"/>
    <s v="March"/>
    <s v="Sunday"/>
    <d v="2023-03-12T00:00:00"/>
    <s v="CUST130"/>
    <x v="1"/>
    <n v="57"/>
    <x v="2"/>
    <x v="1"/>
    <n v="1"/>
    <n v="500"/>
    <n v="500"/>
    <n v="7.5"/>
  </r>
  <r>
    <n v="131"/>
    <n v="2023"/>
    <n v="9"/>
    <n v="18"/>
    <s v="September"/>
    <s v="Monday"/>
    <d v="2023-09-18T00:00:00"/>
    <s v="CUST131"/>
    <x v="1"/>
    <n v="21"/>
    <x v="1"/>
    <x v="0"/>
    <n v="2"/>
    <n v="300"/>
    <n v="600"/>
    <n v="9"/>
  </r>
  <r>
    <n v="132"/>
    <n v="2023"/>
    <n v="9"/>
    <n v="10"/>
    <s v="September"/>
    <s v="Sunday"/>
    <d v="2023-09-10T00:00:00"/>
    <s v="CUST132"/>
    <x v="0"/>
    <n v="42"/>
    <x v="0"/>
    <x v="2"/>
    <n v="4"/>
    <n v="50"/>
    <n v="200"/>
    <n v="3"/>
  </r>
  <r>
    <n v="133"/>
    <n v="2023"/>
    <n v="2"/>
    <n v="16"/>
    <s v="February"/>
    <s v="Thursday"/>
    <d v="2023-02-16T00:00:00"/>
    <s v="CUST133"/>
    <x v="0"/>
    <n v="20"/>
    <x v="1"/>
    <x v="2"/>
    <n v="3"/>
    <n v="300"/>
    <n v="900"/>
    <n v="13.5"/>
  </r>
  <r>
    <n v="134"/>
    <n v="2023"/>
    <n v="1"/>
    <n v="25"/>
    <s v="January"/>
    <s v="Wednesday"/>
    <d v="2023-01-25T00:00:00"/>
    <s v="CUST134"/>
    <x v="0"/>
    <n v="49"/>
    <x v="0"/>
    <x v="2"/>
    <n v="1"/>
    <n v="50"/>
    <n v="50"/>
    <n v="0.75"/>
  </r>
  <r>
    <n v="135"/>
    <n v="2023"/>
    <n v="2"/>
    <n v="26"/>
    <s v="February"/>
    <s v="Sunday"/>
    <d v="2023-02-26T00:00:00"/>
    <s v="CUST135"/>
    <x v="0"/>
    <n v="20"/>
    <x v="1"/>
    <x v="1"/>
    <n v="2"/>
    <n v="25"/>
    <n v="50"/>
    <n v="0.75"/>
  </r>
  <r>
    <n v="136"/>
    <n v="2023"/>
    <n v="3"/>
    <n v="20"/>
    <s v="March"/>
    <s v="Monday"/>
    <d v="2023-03-20T00:00:00"/>
    <s v="CUST136"/>
    <x v="0"/>
    <n v="44"/>
    <x v="0"/>
    <x v="2"/>
    <n v="2"/>
    <n v="300"/>
    <n v="600"/>
    <n v="9"/>
  </r>
  <r>
    <n v="137"/>
    <n v="2023"/>
    <n v="11"/>
    <n v="18"/>
    <s v="November"/>
    <s v="Saturday"/>
    <d v="2023-11-18T00:00:00"/>
    <s v="CUST137"/>
    <x v="0"/>
    <n v="46"/>
    <x v="0"/>
    <x v="0"/>
    <n v="2"/>
    <n v="500"/>
    <n v="1000"/>
    <n v="15"/>
  </r>
  <r>
    <n v="138"/>
    <n v="2023"/>
    <n v="3"/>
    <n v="23"/>
    <s v="March"/>
    <s v="Thursday"/>
    <d v="2023-03-23T00:00:00"/>
    <s v="CUST138"/>
    <x v="0"/>
    <n v="49"/>
    <x v="0"/>
    <x v="1"/>
    <n v="4"/>
    <n v="50"/>
    <n v="200"/>
    <n v="3"/>
  </r>
  <r>
    <n v="139"/>
    <n v="2023"/>
    <n v="12"/>
    <n v="15"/>
    <s v="December"/>
    <s v="Friday"/>
    <d v="2023-12-15T00:00:00"/>
    <s v="CUST139"/>
    <x v="0"/>
    <n v="36"/>
    <x v="0"/>
    <x v="0"/>
    <n v="4"/>
    <n v="500"/>
    <n v="2000"/>
    <n v="30"/>
  </r>
  <r>
    <n v="140"/>
    <n v="2023"/>
    <n v="8"/>
    <n v="5"/>
    <s v="August"/>
    <s v="Saturday"/>
    <d v="2023-08-05T00:00:00"/>
    <s v="CUST140"/>
    <x v="0"/>
    <n v="38"/>
    <x v="0"/>
    <x v="2"/>
    <n v="1"/>
    <n v="30"/>
    <n v="30"/>
    <n v="0.44999999999999996"/>
  </r>
  <r>
    <n v="141"/>
    <n v="2023"/>
    <n v="11"/>
    <n v="2"/>
    <s v="November"/>
    <s v="Thursday"/>
    <d v="2023-11-02T00:00:00"/>
    <s v="CUST141"/>
    <x v="1"/>
    <n v="22"/>
    <x v="1"/>
    <x v="2"/>
    <n v="1"/>
    <n v="50"/>
    <n v="50"/>
    <n v="0.75"/>
  </r>
  <r>
    <n v="142"/>
    <n v="2023"/>
    <n v="2"/>
    <n v="2"/>
    <s v="February"/>
    <s v="Thursday"/>
    <d v="2023-02-02T00:00:00"/>
    <s v="CUST142"/>
    <x v="0"/>
    <n v="35"/>
    <x v="0"/>
    <x v="2"/>
    <n v="4"/>
    <n v="300"/>
    <n v="1200"/>
    <n v="18"/>
  </r>
  <r>
    <n v="143"/>
    <n v="2023"/>
    <n v="7"/>
    <n v="17"/>
    <s v="July"/>
    <s v="Monday"/>
    <d v="2023-07-17T00:00:00"/>
    <s v="CUST143"/>
    <x v="1"/>
    <n v="45"/>
    <x v="0"/>
    <x v="1"/>
    <n v="1"/>
    <n v="50"/>
    <n v="50"/>
    <n v="0.75"/>
  </r>
  <r>
    <n v="144"/>
    <n v="2023"/>
    <n v="7"/>
    <n v="15"/>
    <s v="July"/>
    <s v="Saturday"/>
    <d v="2023-07-15T00:00:00"/>
    <s v="CUST144"/>
    <x v="1"/>
    <n v="59"/>
    <x v="2"/>
    <x v="0"/>
    <n v="3"/>
    <n v="500"/>
    <n v="1500"/>
    <n v="22.5"/>
  </r>
  <r>
    <n v="145"/>
    <n v="2023"/>
    <n v="11"/>
    <n v="2"/>
    <s v="November"/>
    <s v="Thursday"/>
    <d v="2023-11-02T00:00:00"/>
    <s v="CUST145"/>
    <x v="1"/>
    <n v="39"/>
    <x v="0"/>
    <x v="1"/>
    <n v="3"/>
    <n v="25"/>
    <n v="75"/>
    <n v="1.125"/>
  </r>
  <r>
    <n v="146"/>
    <n v="2023"/>
    <n v="8"/>
    <n v="28"/>
    <s v="August"/>
    <s v="Monday"/>
    <d v="2023-08-28T00:00:00"/>
    <s v="CUST146"/>
    <x v="0"/>
    <n v="38"/>
    <x v="0"/>
    <x v="1"/>
    <n v="4"/>
    <n v="50"/>
    <n v="200"/>
    <n v="3"/>
  </r>
  <r>
    <n v="147"/>
    <n v="2023"/>
    <n v="9"/>
    <n v="28"/>
    <s v="September"/>
    <s v="Thursday"/>
    <d v="2023-09-28T00:00:00"/>
    <s v="CUST147"/>
    <x v="0"/>
    <n v="23"/>
    <x v="1"/>
    <x v="2"/>
    <n v="1"/>
    <n v="300"/>
    <n v="300"/>
    <n v="4.5"/>
  </r>
  <r>
    <n v="148"/>
    <n v="2023"/>
    <n v="5"/>
    <n v="9"/>
    <s v="May"/>
    <s v="Tuesday"/>
    <d v="2023-05-09T00:00:00"/>
    <s v="CUST148"/>
    <x v="0"/>
    <n v="18"/>
    <x v="1"/>
    <x v="1"/>
    <n v="2"/>
    <n v="30"/>
    <n v="60"/>
    <n v="0.89999999999999991"/>
  </r>
  <r>
    <n v="149"/>
    <n v="2023"/>
    <n v="10"/>
    <n v="11"/>
    <s v="October"/>
    <s v="Wednesday"/>
    <d v="2023-10-11T00:00:00"/>
    <s v="CUST149"/>
    <x v="0"/>
    <n v="22"/>
    <x v="1"/>
    <x v="1"/>
    <n v="3"/>
    <n v="25"/>
    <n v="75"/>
    <n v="1.125"/>
  </r>
  <r>
    <n v="150"/>
    <n v="2023"/>
    <n v="1"/>
    <n v="6"/>
    <s v="January"/>
    <s v="Friday"/>
    <d v="2023-01-06T00:00:00"/>
    <s v="CUST150"/>
    <x v="1"/>
    <n v="58"/>
    <x v="2"/>
    <x v="2"/>
    <n v="4"/>
    <n v="30"/>
    <n v="120"/>
    <n v="1.7999999999999998"/>
  </r>
  <r>
    <n v="151"/>
    <n v="2023"/>
    <n v="12"/>
    <n v="15"/>
    <s v="December"/>
    <s v="Friday"/>
    <d v="2023-12-15T00:00:00"/>
    <s v="CUST151"/>
    <x v="0"/>
    <n v="29"/>
    <x v="1"/>
    <x v="1"/>
    <n v="1"/>
    <n v="50"/>
    <n v="50"/>
    <n v="0.75"/>
  </r>
  <r>
    <n v="152"/>
    <n v="2023"/>
    <n v="2"/>
    <n v="28"/>
    <s v="February"/>
    <s v="Tuesday"/>
    <d v="2023-02-28T00:00:00"/>
    <s v="CUST152"/>
    <x v="0"/>
    <n v="43"/>
    <x v="0"/>
    <x v="2"/>
    <n v="4"/>
    <n v="500"/>
    <n v="2000"/>
    <n v="30"/>
  </r>
  <r>
    <n v="153"/>
    <n v="2023"/>
    <n v="12"/>
    <n v="16"/>
    <s v="December"/>
    <s v="Saturday"/>
    <d v="2023-12-16T00:00:00"/>
    <s v="CUST153"/>
    <x v="0"/>
    <n v="63"/>
    <x v="2"/>
    <x v="2"/>
    <n v="2"/>
    <n v="500"/>
    <n v="1000"/>
    <n v="15"/>
  </r>
  <r>
    <n v="154"/>
    <n v="2023"/>
    <n v="10"/>
    <n v="2"/>
    <s v="October"/>
    <s v="Monday"/>
    <d v="2023-10-02T00:00:00"/>
    <s v="CUST154"/>
    <x v="0"/>
    <n v="51"/>
    <x v="2"/>
    <x v="2"/>
    <n v="3"/>
    <n v="300"/>
    <n v="900"/>
    <n v="13.5"/>
  </r>
  <r>
    <n v="155"/>
    <n v="2023"/>
    <n v="5"/>
    <n v="17"/>
    <s v="May"/>
    <s v="Wednesday"/>
    <d v="2023-05-17T00:00:00"/>
    <s v="CUST155"/>
    <x v="0"/>
    <n v="31"/>
    <x v="0"/>
    <x v="2"/>
    <n v="4"/>
    <n v="500"/>
    <n v="2000"/>
    <n v="30"/>
  </r>
  <r>
    <n v="156"/>
    <n v="2023"/>
    <n v="11"/>
    <n v="25"/>
    <s v="November"/>
    <s v="Saturday"/>
    <d v="2023-11-25T00:00:00"/>
    <s v="CUST156"/>
    <x v="1"/>
    <n v="43"/>
    <x v="0"/>
    <x v="1"/>
    <n v="4"/>
    <n v="25"/>
    <n v="100"/>
    <n v="1.5"/>
  </r>
  <r>
    <n v="157"/>
    <n v="2023"/>
    <n v="6"/>
    <n v="24"/>
    <s v="June"/>
    <s v="Saturday"/>
    <d v="2023-06-24T00:00:00"/>
    <s v="CUST157"/>
    <x v="0"/>
    <n v="62"/>
    <x v="2"/>
    <x v="2"/>
    <n v="4"/>
    <n v="500"/>
    <n v="2000"/>
    <n v="30"/>
  </r>
  <r>
    <n v="158"/>
    <n v="2023"/>
    <n v="2"/>
    <n v="27"/>
    <s v="February"/>
    <s v="Monday"/>
    <d v="2023-02-27T00:00:00"/>
    <s v="CUST158"/>
    <x v="1"/>
    <n v="44"/>
    <x v="0"/>
    <x v="2"/>
    <n v="2"/>
    <n v="300"/>
    <n v="600"/>
    <n v="9"/>
  </r>
  <r>
    <n v="159"/>
    <n v="2023"/>
    <n v="5"/>
    <n v="31"/>
    <s v="May"/>
    <s v="Wednesday"/>
    <d v="2023-05-31T00:00:00"/>
    <s v="CUST159"/>
    <x v="0"/>
    <n v="26"/>
    <x v="1"/>
    <x v="1"/>
    <n v="4"/>
    <n v="50"/>
    <n v="200"/>
    <n v="3"/>
  </r>
  <r>
    <n v="160"/>
    <n v="2023"/>
    <n v="8"/>
    <n v="11"/>
    <s v="August"/>
    <s v="Friday"/>
    <d v="2023-08-11T00:00:00"/>
    <s v="CUST160"/>
    <x v="1"/>
    <n v="43"/>
    <x v="0"/>
    <x v="1"/>
    <n v="2"/>
    <n v="50"/>
    <n v="100"/>
    <n v="1.5"/>
  </r>
  <r>
    <n v="161"/>
    <n v="2023"/>
    <n v="3"/>
    <n v="22"/>
    <s v="March"/>
    <s v="Wednesday"/>
    <d v="2023-03-22T00:00:00"/>
    <s v="CUST161"/>
    <x v="0"/>
    <n v="64"/>
    <x v="2"/>
    <x v="0"/>
    <n v="2"/>
    <n v="500"/>
    <n v="1000"/>
    <n v="15"/>
  </r>
  <r>
    <n v="162"/>
    <n v="2023"/>
    <n v="8"/>
    <n v="21"/>
    <s v="August"/>
    <s v="Monday"/>
    <d v="2023-08-21T00:00:00"/>
    <s v="CUST162"/>
    <x v="0"/>
    <n v="39"/>
    <x v="0"/>
    <x v="1"/>
    <n v="2"/>
    <n v="30"/>
    <n v="60"/>
    <n v="0.89999999999999991"/>
  </r>
  <r>
    <n v="163"/>
    <n v="2023"/>
    <n v="1"/>
    <n v="2"/>
    <s v="January"/>
    <s v="Monday"/>
    <d v="2023-01-02T00:00:00"/>
    <s v="CUST163"/>
    <x v="1"/>
    <n v="64"/>
    <x v="2"/>
    <x v="1"/>
    <n v="3"/>
    <n v="50"/>
    <n v="150"/>
    <n v="2.25"/>
  </r>
  <r>
    <n v="164"/>
    <n v="2023"/>
    <n v="5"/>
    <n v="15"/>
    <s v="May"/>
    <s v="Monday"/>
    <d v="2023-05-15T00:00:00"/>
    <s v="CUST164"/>
    <x v="1"/>
    <n v="47"/>
    <x v="0"/>
    <x v="0"/>
    <n v="3"/>
    <n v="500"/>
    <n v="1500"/>
    <n v="22.5"/>
  </r>
  <r>
    <n v="165"/>
    <n v="2023"/>
    <n v="9"/>
    <n v="14"/>
    <s v="September"/>
    <s v="Thursday"/>
    <d v="2023-09-14T00:00:00"/>
    <s v="CUST165"/>
    <x v="1"/>
    <n v="60"/>
    <x v="2"/>
    <x v="1"/>
    <n v="4"/>
    <n v="300"/>
    <n v="1200"/>
    <n v="18"/>
  </r>
  <r>
    <n v="166"/>
    <n v="2023"/>
    <n v="4"/>
    <n v="2"/>
    <s v="April"/>
    <s v="Sunday"/>
    <d v="2023-04-02T00:00:00"/>
    <s v="CUST166"/>
    <x v="0"/>
    <n v="34"/>
    <x v="0"/>
    <x v="1"/>
    <n v="4"/>
    <n v="500"/>
    <n v="2000"/>
    <n v="30"/>
  </r>
  <r>
    <n v="167"/>
    <n v="2023"/>
    <n v="9"/>
    <n v="17"/>
    <s v="September"/>
    <s v="Sunday"/>
    <d v="2023-09-17T00:00:00"/>
    <s v="CUST167"/>
    <x v="1"/>
    <n v="43"/>
    <x v="0"/>
    <x v="1"/>
    <n v="3"/>
    <n v="50"/>
    <n v="150"/>
    <n v="2.25"/>
  </r>
  <r>
    <n v="168"/>
    <n v="2023"/>
    <n v="2"/>
    <n v="24"/>
    <s v="February"/>
    <s v="Friday"/>
    <d v="2023-02-24T00:00:00"/>
    <s v="CUST168"/>
    <x v="0"/>
    <n v="53"/>
    <x v="2"/>
    <x v="1"/>
    <n v="1"/>
    <n v="300"/>
    <n v="300"/>
    <n v="4.5"/>
  </r>
  <r>
    <n v="169"/>
    <n v="2023"/>
    <n v="11"/>
    <n v="17"/>
    <s v="November"/>
    <s v="Friday"/>
    <d v="2023-11-17T00:00:00"/>
    <s v="CUST169"/>
    <x v="0"/>
    <n v="18"/>
    <x v="1"/>
    <x v="0"/>
    <n v="3"/>
    <n v="500"/>
    <n v="1500"/>
    <n v="22.5"/>
  </r>
  <r>
    <n v="170"/>
    <n v="2023"/>
    <n v="6"/>
    <n v="2"/>
    <s v="June"/>
    <s v="Friday"/>
    <d v="2023-06-02T00:00:00"/>
    <s v="CUST170"/>
    <x v="1"/>
    <n v="25"/>
    <x v="1"/>
    <x v="1"/>
    <n v="2"/>
    <n v="25"/>
    <n v="50"/>
    <n v="0.75"/>
  </r>
  <r>
    <n v="171"/>
    <n v="2023"/>
    <n v="11"/>
    <n v="24"/>
    <s v="November"/>
    <s v="Friday"/>
    <d v="2023-11-24T00:00:00"/>
    <s v="CUST171"/>
    <x v="1"/>
    <n v="52"/>
    <x v="2"/>
    <x v="1"/>
    <n v="3"/>
    <n v="300"/>
    <n v="900"/>
    <n v="13.5"/>
  </r>
  <r>
    <n v="172"/>
    <n v="2023"/>
    <n v="9"/>
    <n v="17"/>
    <s v="September"/>
    <s v="Sunday"/>
    <d v="2023-09-17T00:00:00"/>
    <s v="CUST172"/>
    <x v="0"/>
    <n v="32"/>
    <x v="0"/>
    <x v="0"/>
    <n v="2"/>
    <n v="25"/>
    <n v="50"/>
    <n v="0.75"/>
  </r>
  <r>
    <n v="173"/>
    <n v="2023"/>
    <n v="11"/>
    <n v="8"/>
    <s v="November"/>
    <s v="Wednesday"/>
    <d v="2023-11-08T00:00:00"/>
    <s v="CUST173"/>
    <x v="0"/>
    <n v="64"/>
    <x v="2"/>
    <x v="2"/>
    <n v="4"/>
    <n v="30"/>
    <n v="120"/>
    <n v="1.7999999999999998"/>
  </r>
  <r>
    <n v="174"/>
    <n v="2023"/>
    <n v="4"/>
    <n v="12"/>
    <s v="April"/>
    <s v="Wednesday"/>
    <d v="2023-04-12T00:00:00"/>
    <s v="CUST174"/>
    <x v="1"/>
    <n v="39"/>
    <x v="0"/>
    <x v="0"/>
    <n v="1"/>
    <n v="300"/>
    <n v="300"/>
    <n v="4.5"/>
  </r>
  <r>
    <n v="175"/>
    <n v="2023"/>
    <n v="3"/>
    <n v="20"/>
    <s v="March"/>
    <s v="Monday"/>
    <d v="2023-03-20T00:00:00"/>
    <s v="CUST175"/>
    <x v="1"/>
    <n v="31"/>
    <x v="0"/>
    <x v="2"/>
    <n v="4"/>
    <n v="25"/>
    <n v="100"/>
    <n v="1.5"/>
  </r>
  <r>
    <n v="176"/>
    <n v="2023"/>
    <n v="7"/>
    <n v="11"/>
    <s v="July"/>
    <s v="Tuesday"/>
    <d v="2023-07-11T00:00:00"/>
    <s v="CUST176"/>
    <x v="1"/>
    <n v="43"/>
    <x v="0"/>
    <x v="0"/>
    <n v="2"/>
    <n v="50"/>
    <n v="100"/>
    <n v="1.5"/>
  </r>
  <r>
    <n v="177"/>
    <n v="2023"/>
    <n v="3"/>
    <n v="24"/>
    <s v="March"/>
    <s v="Friday"/>
    <d v="2023-03-24T00:00:00"/>
    <s v="CUST177"/>
    <x v="0"/>
    <n v="45"/>
    <x v="0"/>
    <x v="0"/>
    <n v="2"/>
    <n v="50"/>
    <n v="100"/>
    <n v="1.5"/>
  </r>
  <r>
    <n v="178"/>
    <n v="2023"/>
    <n v="10"/>
    <n v="4"/>
    <s v="October"/>
    <s v="Wednesday"/>
    <d v="2023-10-04T00:00:00"/>
    <s v="CUST178"/>
    <x v="0"/>
    <n v="40"/>
    <x v="0"/>
    <x v="1"/>
    <n v="2"/>
    <n v="30"/>
    <n v="60"/>
    <n v="0.89999999999999991"/>
  </r>
  <r>
    <n v="179"/>
    <n v="2023"/>
    <n v="9"/>
    <n v="29"/>
    <s v="September"/>
    <s v="Friday"/>
    <d v="2023-09-29T00:00:00"/>
    <s v="CUST179"/>
    <x v="0"/>
    <n v="31"/>
    <x v="0"/>
    <x v="2"/>
    <n v="1"/>
    <n v="300"/>
    <n v="300"/>
    <n v="4.5"/>
  </r>
  <r>
    <n v="180"/>
    <n v="2023"/>
    <n v="1"/>
    <n v="1"/>
    <s v="January"/>
    <s v="Sunday"/>
    <d v="2023-01-01T00:00:00"/>
    <s v="CUST180"/>
    <x v="0"/>
    <n v="41"/>
    <x v="0"/>
    <x v="1"/>
    <n v="3"/>
    <n v="300"/>
    <n v="900"/>
    <n v="13.5"/>
  </r>
  <r>
    <n v="181"/>
    <n v="2023"/>
    <n v="11"/>
    <n v="3"/>
    <s v="November"/>
    <s v="Friday"/>
    <d v="2023-11-03T00:00:00"/>
    <s v="CUST181"/>
    <x v="0"/>
    <n v="19"/>
    <x v="1"/>
    <x v="2"/>
    <n v="4"/>
    <n v="300"/>
    <n v="1200"/>
    <n v="18"/>
  </r>
  <r>
    <n v="182"/>
    <n v="2023"/>
    <n v="6"/>
    <n v="15"/>
    <s v="June"/>
    <s v="Thursday"/>
    <d v="2023-06-15T00:00:00"/>
    <s v="CUST182"/>
    <x v="0"/>
    <n v="62"/>
    <x v="2"/>
    <x v="0"/>
    <n v="4"/>
    <n v="30"/>
    <n v="120"/>
    <n v="1.7999999999999998"/>
  </r>
  <r>
    <n v="183"/>
    <n v="2023"/>
    <n v="9"/>
    <n v="8"/>
    <s v="September"/>
    <s v="Friday"/>
    <d v="2023-09-08T00:00:00"/>
    <s v="CUST183"/>
    <x v="1"/>
    <n v="43"/>
    <x v="0"/>
    <x v="0"/>
    <n v="3"/>
    <n v="300"/>
    <n v="900"/>
    <n v="13.5"/>
  </r>
  <r>
    <n v="184"/>
    <n v="2023"/>
    <n v="1"/>
    <n v="10"/>
    <s v="January"/>
    <s v="Tuesday"/>
    <d v="2023-01-10T00:00:00"/>
    <s v="CUST184"/>
    <x v="0"/>
    <n v="31"/>
    <x v="0"/>
    <x v="2"/>
    <n v="4"/>
    <n v="50"/>
    <n v="200"/>
    <n v="3"/>
  </r>
  <r>
    <n v="185"/>
    <n v="2023"/>
    <n v="2"/>
    <n v="27"/>
    <s v="February"/>
    <s v="Monday"/>
    <d v="2023-02-27T00:00:00"/>
    <s v="CUST185"/>
    <x v="0"/>
    <n v="24"/>
    <x v="1"/>
    <x v="1"/>
    <n v="1"/>
    <n v="25"/>
    <n v="25"/>
    <n v="0.375"/>
  </r>
  <r>
    <n v="186"/>
    <n v="2023"/>
    <n v="7"/>
    <n v="5"/>
    <s v="July"/>
    <s v="Wednesday"/>
    <d v="2023-07-05T00:00:00"/>
    <s v="CUST186"/>
    <x v="0"/>
    <n v="20"/>
    <x v="1"/>
    <x v="1"/>
    <n v="4"/>
    <n v="50"/>
    <n v="200"/>
    <n v="3"/>
  </r>
  <r>
    <n v="187"/>
    <n v="2023"/>
    <n v="6"/>
    <n v="7"/>
    <s v="June"/>
    <s v="Wednesday"/>
    <d v="2023-06-07T00:00:00"/>
    <s v="CUST187"/>
    <x v="1"/>
    <n v="64"/>
    <x v="2"/>
    <x v="1"/>
    <n v="2"/>
    <n v="50"/>
    <n v="100"/>
    <n v="1.5"/>
  </r>
  <r>
    <n v="188"/>
    <n v="2023"/>
    <n v="5"/>
    <n v="3"/>
    <s v="May"/>
    <s v="Wednesday"/>
    <d v="2023-05-03T00:00:00"/>
    <s v="CUST188"/>
    <x v="0"/>
    <n v="40"/>
    <x v="0"/>
    <x v="1"/>
    <n v="3"/>
    <n v="25"/>
    <n v="75"/>
    <n v="1.125"/>
  </r>
  <r>
    <n v="189"/>
    <n v="2023"/>
    <n v="1"/>
    <n v="30"/>
    <s v="January"/>
    <s v="Monday"/>
    <d v="2023-01-30T00:00:00"/>
    <s v="CUST189"/>
    <x v="0"/>
    <n v="63"/>
    <x v="2"/>
    <x v="0"/>
    <n v="1"/>
    <n v="50"/>
    <n v="50"/>
    <n v="0.75"/>
  </r>
  <r>
    <n v="190"/>
    <n v="2023"/>
    <n v="5"/>
    <n v="4"/>
    <s v="May"/>
    <s v="Thursday"/>
    <d v="2023-05-04T00:00:00"/>
    <s v="CUST190"/>
    <x v="1"/>
    <n v="60"/>
    <x v="2"/>
    <x v="0"/>
    <n v="3"/>
    <n v="30"/>
    <n v="90"/>
    <n v="1.3499999999999999"/>
  </r>
  <r>
    <n v="191"/>
    <n v="2023"/>
    <n v="10"/>
    <n v="18"/>
    <s v="October"/>
    <s v="Wednesday"/>
    <d v="2023-10-18T00:00:00"/>
    <s v="CUST191"/>
    <x v="0"/>
    <n v="64"/>
    <x v="2"/>
    <x v="0"/>
    <n v="1"/>
    <n v="25"/>
    <n v="25"/>
    <n v="0.375"/>
  </r>
  <r>
    <n v="192"/>
    <n v="2023"/>
    <n v="2"/>
    <n v="10"/>
    <s v="February"/>
    <s v="Friday"/>
    <d v="2023-02-10T00:00:00"/>
    <s v="CUST192"/>
    <x v="0"/>
    <n v="62"/>
    <x v="2"/>
    <x v="0"/>
    <n v="2"/>
    <n v="50"/>
    <n v="100"/>
    <n v="1.5"/>
  </r>
  <r>
    <n v="193"/>
    <n v="2023"/>
    <n v="2"/>
    <n v="13"/>
    <s v="February"/>
    <s v="Monday"/>
    <d v="2023-02-13T00:00:00"/>
    <s v="CUST193"/>
    <x v="0"/>
    <n v="35"/>
    <x v="0"/>
    <x v="0"/>
    <n v="3"/>
    <n v="500"/>
    <n v="1500"/>
    <n v="22.5"/>
  </r>
  <r>
    <n v="194"/>
    <n v="2023"/>
    <n v="9"/>
    <n v="6"/>
    <s v="September"/>
    <s v="Wednesday"/>
    <d v="2023-09-06T00:00:00"/>
    <s v="CUST194"/>
    <x v="0"/>
    <n v="55"/>
    <x v="2"/>
    <x v="1"/>
    <n v="4"/>
    <n v="50"/>
    <n v="200"/>
    <n v="3"/>
  </r>
  <r>
    <n v="195"/>
    <n v="2023"/>
    <n v="2"/>
    <n v="5"/>
    <s v="February"/>
    <s v="Sunday"/>
    <d v="2023-02-05T00:00:00"/>
    <s v="CUST195"/>
    <x v="0"/>
    <n v="52"/>
    <x v="2"/>
    <x v="1"/>
    <n v="1"/>
    <n v="30"/>
    <n v="30"/>
    <n v="0.44999999999999996"/>
  </r>
  <r>
    <n v="196"/>
    <n v="2023"/>
    <n v="9"/>
    <n v="30"/>
    <s v="September"/>
    <s v="Saturday"/>
    <d v="2023-09-30T00:00:00"/>
    <s v="CUST196"/>
    <x v="1"/>
    <n v="32"/>
    <x v="0"/>
    <x v="1"/>
    <n v="3"/>
    <n v="300"/>
    <n v="900"/>
    <n v="13.5"/>
  </r>
  <r>
    <n v="197"/>
    <n v="2023"/>
    <n v="3"/>
    <n v="6"/>
    <s v="March"/>
    <s v="Monday"/>
    <d v="2023-03-06T00:00:00"/>
    <s v="CUST197"/>
    <x v="1"/>
    <n v="42"/>
    <x v="0"/>
    <x v="1"/>
    <n v="4"/>
    <n v="50"/>
    <n v="200"/>
    <n v="3"/>
  </r>
  <r>
    <n v="198"/>
    <n v="2023"/>
    <n v="3"/>
    <n v="7"/>
    <s v="March"/>
    <s v="Tuesday"/>
    <d v="2023-03-07T00:00:00"/>
    <s v="CUST198"/>
    <x v="1"/>
    <n v="54"/>
    <x v="2"/>
    <x v="0"/>
    <n v="3"/>
    <n v="300"/>
    <n v="900"/>
    <n v="13.5"/>
  </r>
  <r>
    <n v="199"/>
    <n v="2023"/>
    <n v="12"/>
    <n v="4"/>
    <s v="December"/>
    <s v="Monday"/>
    <d v="2023-12-04T00:00:00"/>
    <s v="CUST199"/>
    <x v="0"/>
    <n v="45"/>
    <x v="0"/>
    <x v="0"/>
    <n v="3"/>
    <n v="500"/>
    <n v="1500"/>
    <n v="22.5"/>
  </r>
  <r>
    <n v="200"/>
    <n v="2023"/>
    <n v="9"/>
    <n v="1"/>
    <s v="September"/>
    <s v="Friday"/>
    <d v="2023-09-01T00:00:00"/>
    <s v="CUST200"/>
    <x v="0"/>
    <n v="27"/>
    <x v="1"/>
    <x v="0"/>
    <n v="3"/>
    <n v="50"/>
    <n v="150"/>
    <n v="2.25"/>
  </r>
  <r>
    <n v="201"/>
    <n v="2023"/>
    <n v="10"/>
    <n v="9"/>
    <s v="October"/>
    <s v="Monday"/>
    <d v="2023-10-09T00:00:00"/>
    <s v="CUST201"/>
    <x v="0"/>
    <n v="56"/>
    <x v="2"/>
    <x v="2"/>
    <n v="1"/>
    <n v="25"/>
    <n v="25"/>
    <n v="0.375"/>
  </r>
  <r>
    <n v="202"/>
    <n v="2023"/>
    <n v="3"/>
    <n v="26"/>
    <s v="March"/>
    <s v="Sunday"/>
    <d v="2023-03-26T00:00:00"/>
    <s v="CUST202"/>
    <x v="1"/>
    <n v="34"/>
    <x v="0"/>
    <x v="1"/>
    <n v="4"/>
    <n v="300"/>
    <n v="1200"/>
    <n v="18"/>
  </r>
  <r>
    <n v="203"/>
    <n v="2023"/>
    <n v="5"/>
    <n v="16"/>
    <s v="May"/>
    <s v="Tuesday"/>
    <d v="2023-05-16T00:00:00"/>
    <s v="CUST203"/>
    <x v="0"/>
    <n v="56"/>
    <x v="2"/>
    <x v="1"/>
    <n v="2"/>
    <n v="500"/>
    <n v="1000"/>
    <n v="15"/>
  </r>
  <r>
    <n v="204"/>
    <n v="2023"/>
    <n v="9"/>
    <n v="28"/>
    <s v="September"/>
    <s v="Thursday"/>
    <d v="2023-09-28T00:00:00"/>
    <s v="CUST204"/>
    <x v="0"/>
    <n v="39"/>
    <x v="0"/>
    <x v="0"/>
    <n v="1"/>
    <n v="25"/>
    <n v="25"/>
    <n v="0.375"/>
  </r>
  <r>
    <n v="205"/>
    <n v="2023"/>
    <n v="11"/>
    <n v="7"/>
    <s v="November"/>
    <s v="Tuesday"/>
    <d v="2023-11-07T00:00:00"/>
    <s v="CUST205"/>
    <x v="1"/>
    <n v="43"/>
    <x v="0"/>
    <x v="1"/>
    <n v="1"/>
    <n v="25"/>
    <n v="25"/>
    <n v="0.375"/>
  </r>
  <r>
    <n v="206"/>
    <n v="2023"/>
    <n v="8"/>
    <n v="5"/>
    <s v="August"/>
    <s v="Saturday"/>
    <d v="2023-08-05T00:00:00"/>
    <s v="CUST206"/>
    <x v="0"/>
    <n v="61"/>
    <x v="2"/>
    <x v="1"/>
    <n v="1"/>
    <n v="25"/>
    <n v="25"/>
    <n v="0.375"/>
  </r>
  <r>
    <n v="207"/>
    <n v="2023"/>
    <n v="4"/>
    <n v="19"/>
    <s v="April"/>
    <s v="Wednesday"/>
    <d v="2023-04-19T00:00:00"/>
    <s v="CUST207"/>
    <x v="1"/>
    <n v="42"/>
    <x v="0"/>
    <x v="0"/>
    <n v="2"/>
    <n v="25"/>
    <n v="50"/>
    <n v="0.75"/>
  </r>
  <r>
    <n v="208"/>
    <n v="2023"/>
    <n v="10"/>
    <n v="4"/>
    <s v="October"/>
    <s v="Wednesday"/>
    <d v="2023-10-04T00:00:00"/>
    <s v="CUST208"/>
    <x v="1"/>
    <n v="34"/>
    <x v="0"/>
    <x v="2"/>
    <n v="4"/>
    <n v="50"/>
    <n v="200"/>
    <n v="3"/>
  </r>
  <r>
    <n v="209"/>
    <n v="2023"/>
    <n v="12"/>
    <n v="20"/>
    <s v="December"/>
    <s v="Wednesday"/>
    <d v="2023-12-20T00:00:00"/>
    <s v="CUST209"/>
    <x v="1"/>
    <n v="30"/>
    <x v="0"/>
    <x v="2"/>
    <n v="4"/>
    <n v="50"/>
    <n v="200"/>
    <n v="3"/>
  </r>
  <r>
    <n v="210"/>
    <n v="2023"/>
    <n v="4"/>
    <n v="13"/>
    <s v="April"/>
    <s v="Thursday"/>
    <d v="2023-04-13T00:00:00"/>
    <s v="CUST210"/>
    <x v="0"/>
    <n v="37"/>
    <x v="0"/>
    <x v="2"/>
    <n v="4"/>
    <n v="50"/>
    <n v="200"/>
    <n v="3"/>
  </r>
  <r>
    <n v="211"/>
    <n v="2024"/>
    <n v="1"/>
    <n v="1"/>
    <s v="January"/>
    <s v="Monday"/>
    <d v="2024-01-01T00:00:00"/>
    <s v="CUST211"/>
    <x v="0"/>
    <n v="42"/>
    <x v="0"/>
    <x v="0"/>
    <n v="3"/>
    <n v="500"/>
    <n v="1500"/>
    <n v="22.5"/>
  </r>
  <r>
    <n v="212"/>
    <n v="2023"/>
    <n v="6"/>
    <n v="9"/>
    <s v="June"/>
    <s v="Friday"/>
    <d v="2023-06-09T00:00:00"/>
    <s v="CUST212"/>
    <x v="0"/>
    <n v="21"/>
    <x v="1"/>
    <x v="1"/>
    <n v="3"/>
    <n v="500"/>
    <n v="1500"/>
    <n v="22.5"/>
  </r>
  <r>
    <n v="213"/>
    <n v="2023"/>
    <n v="7"/>
    <n v="24"/>
    <s v="July"/>
    <s v="Monday"/>
    <d v="2023-07-24T00:00:00"/>
    <s v="CUST213"/>
    <x v="0"/>
    <n v="27"/>
    <x v="1"/>
    <x v="0"/>
    <n v="3"/>
    <n v="500"/>
    <n v="1500"/>
    <n v="22.5"/>
  </r>
  <r>
    <n v="214"/>
    <n v="2023"/>
    <n v="12"/>
    <n v="10"/>
    <s v="December"/>
    <s v="Sunday"/>
    <d v="2023-12-10T00:00:00"/>
    <s v="CUST214"/>
    <x v="0"/>
    <n v="20"/>
    <x v="1"/>
    <x v="0"/>
    <n v="2"/>
    <n v="30"/>
    <n v="60"/>
    <n v="0.89999999999999991"/>
  </r>
  <r>
    <n v="215"/>
    <n v="2023"/>
    <n v="11"/>
    <n v="29"/>
    <s v="November"/>
    <s v="Wednesday"/>
    <d v="2023-11-29T00:00:00"/>
    <s v="CUST215"/>
    <x v="0"/>
    <n v="58"/>
    <x v="2"/>
    <x v="1"/>
    <n v="3"/>
    <n v="500"/>
    <n v="1500"/>
    <n v="22.5"/>
  </r>
  <r>
    <n v="216"/>
    <n v="2023"/>
    <n v="7"/>
    <n v="11"/>
    <s v="July"/>
    <s v="Tuesday"/>
    <d v="2023-07-11T00:00:00"/>
    <s v="CUST216"/>
    <x v="0"/>
    <n v="62"/>
    <x v="2"/>
    <x v="2"/>
    <n v="2"/>
    <n v="50"/>
    <n v="100"/>
    <n v="1.5"/>
  </r>
  <r>
    <n v="217"/>
    <n v="2023"/>
    <n v="8"/>
    <n v="13"/>
    <s v="August"/>
    <s v="Sunday"/>
    <d v="2023-08-13T00:00:00"/>
    <s v="CUST217"/>
    <x v="1"/>
    <n v="35"/>
    <x v="0"/>
    <x v="2"/>
    <n v="4"/>
    <n v="50"/>
    <n v="200"/>
    <n v="3"/>
  </r>
  <r>
    <n v="218"/>
    <n v="2023"/>
    <n v="9"/>
    <n v="22"/>
    <s v="September"/>
    <s v="Friday"/>
    <d v="2023-09-22T00:00:00"/>
    <s v="CUST218"/>
    <x v="0"/>
    <n v="64"/>
    <x v="2"/>
    <x v="0"/>
    <n v="3"/>
    <n v="30"/>
    <n v="90"/>
    <n v="1.3499999999999999"/>
  </r>
  <r>
    <n v="219"/>
    <n v="2023"/>
    <n v="8"/>
    <n v="20"/>
    <s v="August"/>
    <s v="Sunday"/>
    <d v="2023-08-20T00:00:00"/>
    <s v="CUST219"/>
    <x v="1"/>
    <n v="53"/>
    <x v="2"/>
    <x v="2"/>
    <n v="3"/>
    <n v="30"/>
    <n v="90"/>
    <n v="1.3499999999999999"/>
  </r>
  <r>
    <n v="220"/>
    <n v="2023"/>
    <n v="3"/>
    <n v="3"/>
    <s v="March"/>
    <s v="Friday"/>
    <d v="2023-03-03T00:00:00"/>
    <s v="CUST220"/>
    <x v="0"/>
    <n v="64"/>
    <x v="2"/>
    <x v="0"/>
    <n v="1"/>
    <n v="500"/>
    <n v="500"/>
    <n v="7.5"/>
  </r>
  <r>
    <n v="221"/>
    <n v="2023"/>
    <n v="5"/>
    <n v="7"/>
    <s v="May"/>
    <s v="Sunday"/>
    <d v="2023-05-07T00:00:00"/>
    <s v="CUST221"/>
    <x v="0"/>
    <n v="39"/>
    <x v="0"/>
    <x v="0"/>
    <n v="2"/>
    <n v="300"/>
    <n v="600"/>
    <n v="9"/>
  </r>
  <r>
    <n v="222"/>
    <n v="2023"/>
    <n v="4"/>
    <n v="26"/>
    <s v="April"/>
    <s v="Wednesday"/>
    <d v="2023-04-26T00:00:00"/>
    <s v="CUST222"/>
    <x v="0"/>
    <n v="51"/>
    <x v="2"/>
    <x v="1"/>
    <n v="4"/>
    <n v="30"/>
    <n v="120"/>
    <n v="1.7999999999999998"/>
  </r>
  <r>
    <n v="223"/>
    <n v="2023"/>
    <n v="2"/>
    <n v="2"/>
    <s v="February"/>
    <s v="Thursday"/>
    <d v="2023-02-02T00:00:00"/>
    <s v="CUST223"/>
    <x v="1"/>
    <n v="64"/>
    <x v="2"/>
    <x v="1"/>
    <n v="1"/>
    <n v="25"/>
    <n v="25"/>
    <n v="0.375"/>
  </r>
  <r>
    <n v="224"/>
    <n v="2023"/>
    <n v="6"/>
    <n v="23"/>
    <s v="June"/>
    <s v="Friday"/>
    <d v="2023-06-23T00:00:00"/>
    <s v="CUST224"/>
    <x v="1"/>
    <n v="25"/>
    <x v="1"/>
    <x v="1"/>
    <n v="1"/>
    <n v="50"/>
    <n v="50"/>
    <n v="0.75"/>
  </r>
  <r>
    <n v="225"/>
    <n v="2023"/>
    <n v="1"/>
    <n v="11"/>
    <s v="January"/>
    <s v="Wednesday"/>
    <d v="2023-01-11T00:00:00"/>
    <s v="CUST225"/>
    <x v="1"/>
    <n v="57"/>
    <x v="2"/>
    <x v="0"/>
    <n v="4"/>
    <n v="25"/>
    <n v="100"/>
    <n v="1.5"/>
  </r>
  <r>
    <n v="226"/>
    <n v="2023"/>
    <n v="10"/>
    <n v="29"/>
    <s v="October"/>
    <s v="Sunday"/>
    <d v="2023-10-29T00:00:00"/>
    <s v="CUST226"/>
    <x v="1"/>
    <n v="61"/>
    <x v="2"/>
    <x v="1"/>
    <n v="1"/>
    <n v="50"/>
    <n v="50"/>
    <n v="0.75"/>
  </r>
  <r>
    <n v="227"/>
    <n v="2023"/>
    <n v="10"/>
    <n v="11"/>
    <s v="October"/>
    <s v="Wednesday"/>
    <d v="2023-10-11T00:00:00"/>
    <s v="CUST227"/>
    <x v="0"/>
    <n v="36"/>
    <x v="0"/>
    <x v="2"/>
    <n v="2"/>
    <n v="50"/>
    <n v="100"/>
    <n v="1.5"/>
  </r>
  <r>
    <n v="228"/>
    <n v="2023"/>
    <n v="4"/>
    <n v="28"/>
    <s v="April"/>
    <s v="Friday"/>
    <d v="2023-04-28T00:00:00"/>
    <s v="CUST228"/>
    <x v="1"/>
    <n v="59"/>
    <x v="2"/>
    <x v="2"/>
    <n v="2"/>
    <n v="30"/>
    <n v="60"/>
    <n v="0.89999999999999991"/>
  </r>
  <r>
    <n v="229"/>
    <n v="2023"/>
    <n v="10"/>
    <n v="29"/>
    <s v="October"/>
    <s v="Sunday"/>
    <d v="2023-10-29T00:00:00"/>
    <s v="CUST229"/>
    <x v="0"/>
    <n v="58"/>
    <x v="2"/>
    <x v="0"/>
    <n v="3"/>
    <n v="30"/>
    <n v="90"/>
    <n v="1.3499999999999999"/>
  </r>
  <r>
    <n v="230"/>
    <n v="2023"/>
    <n v="4"/>
    <n v="23"/>
    <s v="April"/>
    <s v="Sunday"/>
    <d v="2023-04-23T00:00:00"/>
    <s v="CUST230"/>
    <x v="0"/>
    <n v="54"/>
    <x v="2"/>
    <x v="0"/>
    <n v="1"/>
    <n v="25"/>
    <n v="25"/>
    <n v="0.375"/>
  </r>
  <r>
    <n v="231"/>
    <n v="2023"/>
    <n v="1"/>
    <n v="4"/>
    <s v="January"/>
    <s v="Wednesday"/>
    <d v="2023-01-04T00:00:00"/>
    <s v="CUST231"/>
    <x v="1"/>
    <n v="23"/>
    <x v="1"/>
    <x v="1"/>
    <n v="3"/>
    <n v="50"/>
    <n v="150"/>
    <n v="2.25"/>
  </r>
  <r>
    <n v="232"/>
    <n v="2023"/>
    <n v="2"/>
    <n v="6"/>
    <s v="February"/>
    <s v="Monday"/>
    <d v="2023-02-06T00:00:00"/>
    <s v="CUST232"/>
    <x v="1"/>
    <n v="43"/>
    <x v="0"/>
    <x v="0"/>
    <n v="1"/>
    <n v="25"/>
    <n v="25"/>
    <n v="0.375"/>
  </r>
  <r>
    <n v="233"/>
    <n v="2023"/>
    <n v="12"/>
    <n v="29"/>
    <s v="December"/>
    <s v="Friday"/>
    <d v="2023-12-29T00:00:00"/>
    <s v="CUST233"/>
    <x v="1"/>
    <n v="51"/>
    <x v="2"/>
    <x v="0"/>
    <n v="2"/>
    <n v="300"/>
    <n v="600"/>
    <n v="9"/>
  </r>
  <r>
    <n v="234"/>
    <n v="2023"/>
    <n v="11"/>
    <n v="20"/>
    <s v="November"/>
    <s v="Monday"/>
    <d v="2023-11-20T00:00:00"/>
    <s v="CUST234"/>
    <x v="1"/>
    <n v="62"/>
    <x v="2"/>
    <x v="2"/>
    <n v="2"/>
    <n v="25"/>
    <n v="50"/>
    <n v="0.75"/>
  </r>
  <r>
    <n v="235"/>
    <n v="2023"/>
    <n v="1"/>
    <n v="31"/>
    <s v="January"/>
    <s v="Tuesday"/>
    <d v="2023-01-31T00:00:00"/>
    <s v="CUST235"/>
    <x v="1"/>
    <n v="23"/>
    <x v="1"/>
    <x v="2"/>
    <n v="2"/>
    <n v="500"/>
    <n v="1000"/>
    <n v="15"/>
  </r>
  <r>
    <n v="236"/>
    <n v="2023"/>
    <n v="4"/>
    <n v="28"/>
    <s v="April"/>
    <s v="Friday"/>
    <d v="2023-04-28T00:00:00"/>
    <s v="CUST236"/>
    <x v="1"/>
    <n v="54"/>
    <x v="2"/>
    <x v="1"/>
    <n v="1"/>
    <n v="25"/>
    <n v="25"/>
    <n v="0.375"/>
  </r>
  <r>
    <n v="237"/>
    <n v="2023"/>
    <n v="2"/>
    <n v="4"/>
    <s v="February"/>
    <s v="Saturday"/>
    <d v="2023-02-04T00:00:00"/>
    <s v="CUST237"/>
    <x v="1"/>
    <n v="50"/>
    <x v="2"/>
    <x v="0"/>
    <n v="2"/>
    <n v="500"/>
    <n v="1000"/>
    <n v="15"/>
  </r>
  <r>
    <n v="238"/>
    <n v="2023"/>
    <n v="1"/>
    <n v="17"/>
    <s v="January"/>
    <s v="Tuesday"/>
    <d v="2023-01-17T00:00:00"/>
    <s v="CUST238"/>
    <x v="1"/>
    <n v="39"/>
    <x v="0"/>
    <x v="0"/>
    <n v="1"/>
    <n v="500"/>
    <n v="500"/>
    <n v="7.5"/>
  </r>
  <r>
    <n v="239"/>
    <n v="2023"/>
    <n v="6"/>
    <n v="19"/>
    <s v="June"/>
    <s v="Monday"/>
    <d v="2023-06-19T00:00:00"/>
    <s v="CUST239"/>
    <x v="0"/>
    <n v="38"/>
    <x v="0"/>
    <x v="2"/>
    <n v="3"/>
    <n v="500"/>
    <n v="1500"/>
    <n v="22.5"/>
  </r>
  <r>
    <n v="240"/>
    <n v="2023"/>
    <n v="2"/>
    <n v="6"/>
    <s v="February"/>
    <s v="Monday"/>
    <d v="2023-02-06T00:00:00"/>
    <s v="CUST240"/>
    <x v="1"/>
    <n v="23"/>
    <x v="1"/>
    <x v="0"/>
    <n v="1"/>
    <n v="300"/>
    <n v="300"/>
    <n v="4.5"/>
  </r>
  <r>
    <n v="241"/>
    <n v="2023"/>
    <n v="9"/>
    <n v="21"/>
    <s v="September"/>
    <s v="Thursday"/>
    <d v="2023-09-21T00:00:00"/>
    <s v="CUST241"/>
    <x v="1"/>
    <n v="23"/>
    <x v="1"/>
    <x v="2"/>
    <n v="3"/>
    <n v="25"/>
    <n v="75"/>
    <n v="1.125"/>
  </r>
  <r>
    <n v="242"/>
    <n v="2023"/>
    <n v="5"/>
    <n v="2"/>
    <s v="May"/>
    <s v="Tuesday"/>
    <d v="2023-05-02T00:00:00"/>
    <s v="CUST242"/>
    <x v="0"/>
    <n v="21"/>
    <x v="1"/>
    <x v="1"/>
    <n v="1"/>
    <n v="25"/>
    <n v="25"/>
    <n v="0.375"/>
  </r>
  <r>
    <n v="243"/>
    <n v="2023"/>
    <n v="5"/>
    <n v="23"/>
    <s v="May"/>
    <s v="Tuesday"/>
    <d v="2023-05-23T00:00:00"/>
    <s v="CUST243"/>
    <x v="1"/>
    <n v="47"/>
    <x v="0"/>
    <x v="2"/>
    <n v="3"/>
    <n v="300"/>
    <n v="900"/>
    <n v="13.5"/>
  </r>
  <r>
    <n v="244"/>
    <n v="2023"/>
    <n v="12"/>
    <n v="9"/>
    <s v="December"/>
    <s v="Saturday"/>
    <d v="2023-12-09T00:00:00"/>
    <s v="CUST244"/>
    <x v="0"/>
    <n v="28"/>
    <x v="1"/>
    <x v="0"/>
    <n v="2"/>
    <n v="50"/>
    <n v="100"/>
    <n v="1.5"/>
  </r>
  <r>
    <n v="245"/>
    <n v="2023"/>
    <n v="9"/>
    <n v="6"/>
    <s v="September"/>
    <s v="Wednesday"/>
    <d v="2023-09-06T00:00:00"/>
    <s v="CUST245"/>
    <x v="0"/>
    <n v="47"/>
    <x v="0"/>
    <x v="1"/>
    <n v="3"/>
    <n v="30"/>
    <n v="90"/>
    <n v="1.3499999999999999"/>
  </r>
  <r>
    <n v="246"/>
    <n v="2023"/>
    <n v="4"/>
    <n v="20"/>
    <s v="April"/>
    <s v="Thursday"/>
    <d v="2023-04-20T00:00:00"/>
    <s v="CUST246"/>
    <x v="1"/>
    <n v="48"/>
    <x v="0"/>
    <x v="2"/>
    <n v="2"/>
    <n v="25"/>
    <n v="50"/>
    <n v="0.75"/>
  </r>
  <r>
    <n v="247"/>
    <n v="2023"/>
    <n v="10"/>
    <n v="4"/>
    <s v="October"/>
    <s v="Wednesday"/>
    <d v="2023-10-04T00:00:00"/>
    <s v="CUST247"/>
    <x v="0"/>
    <n v="41"/>
    <x v="0"/>
    <x v="2"/>
    <n v="2"/>
    <n v="30"/>
    <n v="60"/>
    <n v="0.89999999999999991"/>
  </r>
  <r>
    <n v="248"/>
    <n v="2023"/>
    <n v="3"/>
    <n v="9"/>
    <s v="March"/>
    <s v="Thursday"/>
    <d v="2023-03-09T00:00:00"/>
    <s v="CUST248"/>
    <x v="0"/>
    <n v="26"/>
    <x v="1"/>
    <x v="1"/>
    <n v="3"/>
    <n v="300"/>
    <n v="900"/>
    <n v="13.5"/>
  </r>
  <r>
    <n v="249"/>
    <n v="2023"/>
    <n v="10"/>
    <n v="20"/>
    <s v="October"/>
    <s v="Friday"/>
    <d v="2023-10-20T00:00:00"/>
    <s v="CUST249"/>
    <x v="0"/>
    <n v="20"/>
    <x v="1"/>
    <x v="1"/>
    <n v="1"/>
    <n v="50"/>
    <n v="50"/>
    <n v="0.75"/>
  </r>
  <r>
    <n v="250"/>
    <n v="2023"/>
    <n v="10"/>
    <n v="23"/>
    <s v="October"/>
    <s v="Monday"/>
    <d v="2023-10-23T00:00:00"/>
    <s v="CUST250"/>
    <x v="0"/>
    <n v="48"/>
    <x v="0"/>
    <x v="2"/>
    <n v="1"/>
    <n v="50"/>
    <n v="50"/>
    <n v="0.75"/>
  </r>
  <r>
    <n v="251"/>
    <n v="2023"/>
    <n v="8"/>
    <n v="31"/>
    <s v="August"/>
    <s v="Thursday"/>
    <d v="2023-08-31T00:00:00"/>
    <s v="CUST251"/>
    <x v="1"/>
    <n v="57"/>
    <x v="2"/>
    <x v="0"/>
    <n v="4"/>
    <n v="50"/>
    <n v="200"/>
    <n v="3"/>
  </r>
  <r>
    <n v="252"/>
    <n v="2023"/>
    <n v="5"/>
    <n v="5"/>
    <s v="May"/>
    <s v="Friday"/>
    <d v="2023-05-05T00:00:00"/>
    <s v="CUST252"/>
    <x v="0"/>
    <n v="54"/>
    <x v="2"/>
    <x v="2"/>
    <n v="1"/>
    <n v="300"/>
    <n v="300"/>
    <n v="4.5"/>
  </r>
  <r>
    <n v="253"/>
    <n v="2023"/>
    <n v="8"/>
    <n v="31"/>
    <s v="August"/>
    <s v="Thursday"/>
    <d v="2023-08-31T00:00:00"/>
    <s v="CUST253"/>
    <x v="1"/>
    <n v="53"/>
    <x v="2"/>
    <x v="1"/>
    <n v="4"/>
    <n v="500"/>
    <n v="2000"/>
    <n v="30"/>
  </r>
  <r>
    <n v="254"/>
    <n v="2023"/>
    <n v="7"/>
    <n v="28"/>
    <s v="July"/>
    <s v="Friday"/>
    <d v="2023-07-28T00:00:00"/>
    <s v="CUST254"/>
    <x v="0"/>
    <n v="41"/>
    <x v="0"/>
    <x v="2"/>
    <n v="1"/>
    <n v="500"/>
    <n v="500"/>
    <n v="7.5"/>
  </r>
  <r>
    <n v="255"/>
    <n v="2023"/>
    <n v="4"/>
    <n v="8"/>
    <s v="April"/>
    <s v="Saturday"/>
    <d v="2023-04-08T00:00:00"/>
    <s v="CUST255"/>
    <x v="0"/>
    <n v="48"/>
    <x v="0"/>
    <x v="1"/>
    <n v="1"/>
    <n v="30"/>
    <n v="30"/>
    <n v="0.44999999999999996"/>
  </r>
  <r>
    <n v="256"/>
    <n v="2023"/>
    <n v="2"/>
    <n v="18"/>
    <s v="February"/>
    <s v="Saturday"/>
    <d v="2023-02-18T00:00:00"/>
    <s v="CUST256"/>
    <x v="0"/>
    <n v="23"/>
    <x v="1"/>
    <x v="1"/>
    <n v="2"/>
    <n v="500"/>
    <n v="1000"/>
    <n v="15"/>
  </r>
  <r>
    <n v="257"/>
    <n v="2023"/>
    <n v="2"/>
    <n v="19"/>
    <s v="February"/>
    <s v="Sunday"/>
    <d v="2023-02-19T00:00:00"/>
    <s v="CUST257"/>
    <x v="0"/>
    <n v="19"/>
    <x v="1"/>
    <x v="0"/>
    <n v="4"/>
    <n v="500"/>
    <n v="2000"/>
    <n v="30"/>
  </r>
  <r>
    <n v="258"/>
    <n v="2023"/>
    <n v="12"/>
    <n v="4"/>
    <s v="December"/>
    <s v="Monday"/>
    <d v="2023-12-04T00:00:00"/>
    <s v="CUST258"/>
    <x v="1"/>
    <n v="37"/>
    <x v="0"/>
    <x v="1"/>
    <n v="1"/>
    <n v="50"/>
    <n v="50"/>
    <n v="0.75"/>
  </r>
  <r>
    <n v="259"/>
    <n v="2023"/>
    <n v="8"/>
    <n v="9"/>
    <s v="August"/>
    <s v="Wednesday"/>
    <d v="2023-08-09T00:00:00"/>
    <s v="CUST259"/>
    <x v="1"/>
    <n v="45"/>
    <x v="0"/>
    <x v="1"/>
    <n v="4"/>
    <n v="50"/>
    <n v="200"/>
    <n v="3"/>
  </r>
  <r>
    <n v="260"/>
    <n v="2023"/>
    <n v="7"/>
    <n v="1"/>
    <s v="July"/>
    <s v="Saturday"/>
    <d v="2023-07-01T00:00:00"/>
    <s v="CUST260"/>
    <x v="0"/>
    <n v="28"/>
    <x v="1"/>
    <x v="0"/>
    <n v="2"/>
    <n v="30"/>
    <n v="60"/>
    <n v="0.89999999999999991"/>
  </r>
  <r>
    <n v="261"/>
    <n v="2023"/>
    <n v="8"/>
    <n v="5"/>
    <s v="August"/>
    <s v="Saturday"/>
    <d v="2023-08-05T00:00:00"/>
    <s v="CUST261"/>
    <x v="0"/>
    <n v="21"/>
    <x v="1"/>
    <x v="1"/>
    <n v="2"/>
    <n v="25"/>
    <n v="50"/>
    <n v="0.75"/>
  </r>
  <r>
    <n v="262"/>
    <n v="2023"/>
    <n v="7"/>
    <n v="30"/>
    <s v="July"/>
    <s v="Sunday"/>
    <d v="2023-07-30T00:00:00"/>
    <s v="CUST262"/>
    <x v="1"/>
    <n v="32"/>
    <x v="0"/>
    <x v="0"/>
    <n v="4"/>
    <n v="30"/>
    <n v="120"/>
    <n v="1.7999999999999998"/>
  </r>
  <r>
    <n v="263"/>
    <n v="2023"/>
    <n v="8"/>
    <n v="28"/>
    <s v="August"/>
    <s v="Monday"/>
    <d v="2023-08-28T00:00:00"/>
    <s v="CUST263"/>
    <x v="0"/>
    <n v="23"/>
    <x v="1"/>
    <x v="0"/>
    <n v="2"/>
    <n v="30"/>
    <n v="60"/>
    <n v="0.89999999999999991"/>
  </r>
  <r>
    <n v="264"/>
    <n v="2023"/>
    <n v="1"/>
    <n v="28"/>
    <s v="January"/>
    <s v="Saturday"/>
    <d v="2023-01-28T00:00:00"/>
    <s v="CUST264"/>
    <x v="0"/>
    <n v="47"/>
    <x v="0"/>
    <x v="1"/>
    <n v="3"/>
    <n v="300"/>
    <n v="900"/>
    <n v="13.5"/>
  </r>
  <r>
    <n v="265"/>
    <n v="2023"/>
    <n v="12"/>
    <n v="11"/>
    <s v="December"/>
    <s v="Monday"/>
    <d v="2023-12-11T00:00:00"/>
    <s v="CUST265"/>
    <x v="0"/>
    <n v="55"/>
    <x v="2"/>
    <x v="1"/>
    <n v="3"/>
    <n v="300"/>
    <n v="900"/>
    <n v="13.5"/>
  </r>
  <r>
    <n v="266"/>
    <n v="2023"/>
    <n v="12"/>
    <n v="1"/>
    <s v="December"/>
    <s v="Friday"/>
    <d v="2023-12-01T00:00:00"/>
    <s v="CUST266"/>
    <x v="1"/>
    <n v="19"/>
    <x v="1"/>
    <x v="2"/>
    <n v="2"/>
    <n v="30"/>
    <n v="60"/>
    <n v="0.89999999999999991"/>
  </r>
  <r>
    <n v="267"/>
    <n v="2023"/>
    <n v="11"/>
    <n v="27"/>
    <s v="November"/>
    <s v="Monday"/>
    <d v="2023-11-27T00:00:00"/>
    <s v="CUST267"/>
    <x v="1"/>
    <n v="32"/>
    <x v="0"/>
    <x v="0"/>
    <n v="3"/>
    <n v="30"/>
    <n v="90"/>
    <n v="1.3499999999999999"/>
  </r>
  <r>
    <n v="268"/>
    <n v="2023"/>
    <n v="2"/>
    <n v="20"/>
    <s v="February"/>
    <s v="Monday"/>
    <d v="2023-02-20T00:00:00"/>
    <s v="CUST268"/>
    <x v="1"/>
    <n v="28"/>
    <x v="1"/>
    <x v="2"/>
    <n v="1"/>
    <n v="30"/>
    <n v="30"/>
    <n v="0.44999999999999996"/>
  </r>
  <r>
    <n v="269"/>
    <n v="2023"/>
    <n v="2"/>
    <n v="1"/>
    <s v="February"/>
    <s v="Wednesday"/>
    <d v="2023-02-01T00:00:00"/>
    <s v="CUST269"/>
    <x v="0"/>
    <n v="25"/>
    <x v="1"/>
    <x v="1"/>
    <n v="4"/>
    <n v="500"/>
    <n v="2000"/>
    <n v="30"/>
  </r>
  <r>
    <n v="270"/>
    <n v="2023"/>
    <n v="7"/>
    <n v="26"/>
    <s v="July"/>
    <s v="Wednesday"/>
    <d v="2023-07-26T00:00:00"/>
    <s v="CUST270"/>
    <x v="0"/>
    <n v="43"/>
    <x v="0"/>
    <x v="2"/>
    <n v="1"/>
    <n v="300"/>
    <n v="300"/>
    <n v="4.5"/>
  </r>
  <r>
    <n v="271"/>
    <n v="2023"/>
    <n v="6"/>
    <n v="23"/>
    <s v="June"/>
    <s v="Friday"/>
    <d v="2023-06-23T00:00:00"/>
    <s v="CUST271"/>
    <x v="1"/>
    <n v="62"/>
    <x v="2"/>
    <x v="0"/>
    <n v="4"/>
    <n v="30"/>
    <n v="120"/>
    <n v="1.7999999999999998"/>
  </r>
  <r>
    <n v="272"/>
    <n v="2023"/>
    <n v="2"/>
    <n v="25"/>
    <s v="February"/>
    <s v="Saturday"/>
    <d v="2023-02-25T00:00:00"/>
    <s v="CUST272"/>
    <x v="1"/>
    <n v="61"/>
    <x v="2"/>
    <x v="2"/>
    <n v="2"/>
    <n v="50"/>
    <n v="100"/>
    <n v="1.5"/>
  </r>
  <r>
    <n v="273"/>
    <n v="2023"/>
    <n v="5"/>
    <n v="8"/>
    <s v="May"/>
    <s v="Monday"/>
    <d v="2023-05-08T00:00:00"/>
    <s v="CUST273"/>
    <x v="1"/>
    <n v="22"/>
    <x v="1"/>
    <x v="0"/>
    <n v="1"/>
    <n v="50"/>
    <n v="50"/>
    <n v="0.75"/>
  </r>
  <r>
    <n v="274"/>
    <n v="2023"/>
    <n v="4"/>
    <n v="9"/>
    <s v="April"/>
    <s v="Sunday"/>
    <d v="2023-04-09T00:00:00"/>
    <s v="CUST274"/>
    <x v="1"/>
    <n v="23"/>
    <x v="1"/>
    <x v="1"/>
    <n v="2"/>
    <n v="500"/>
    <n v="1000"/>
    <n v="15"/>
  </r>
  <r>
    <n v="275"/>
    <n v="2023"/>
    <n v="4"/>
    <n v="8"/>
    <s v="April"/>
    <s v="Saturday"/>
    <d v="2023-04-08T00:00:00"/>
    <s v="CUST275"/>
    <x v="0"/>
    <n v="43"/>
    <x v="0"/>
    <x v="1"/>
    <n v="2"/>
    <n v="500"/>
    <n v="1000"/>
    <n v="15"/>
  </r>
  <r>
    <n v="276"/>
    <n v="2023"/>
    <n v="10"/>
    <n v="2"/>
    <s v="October"/>
    <s v="Monday"/>
    <d v="2023-10-02T00:00:00"/>
    <s v="CUST276"/>
    <x v="1"/>
    <n v="21"/>
    <x v="1"/>
    <x v="0"/>
    <n v="4"/>
    <n v="25"/>
    <n v="100"/>
    <n v="1.5"/>
  </r>
  <r>
    <n v="277"/>
    <n v="2023"/>
    <n v="8"/>
    <n v="18"/>
    <s v="August"/>
    <s v="Friday"/>
    <d v="2023-08-18T00:00:00"/>
    <s v="CUST277"/>
    <x v="0"/>
    <n v="36"/>
    <x v="0"/>
    <x v="1"/>
    <n v="4"/>
    <n v="25"/>
    <n v="100"/>
    <n v="1.5"/>
  </r>
  <r>
    <n v="278"/>
    <n v="2023"/>
    <n v="3"/>
    <n v="13"/>
    <s v="March"/>
    <s v="Monday"/>
    <d v="2023-03-13T00:00:00"/>
    <s v="CUST278"/>
    <x v="1"/>
    <n v="37"/>
    <x v="0"/>
    <x v="1"/>
    <n v="4"/>
    <n v="25"/>
    <n v="100"/>
    <n v="1.5"/>
  </r>
  <r>
    <n v="279"/>
    <n v="2023"/>
    <n v="8"/>
    <n v="5"/>
    <s v="August"/>
    <s v="Saturday"/>
    <d v="2023-08-05T00:00:00"/>
    <s v="CUST279"/>
    <x v="0"/>
    <n v="50"/>
    <x v="2"/>
    <x v="1"/>
    <n v="1"/>
    <n v="500"/>
    <n v="500"/>
    <n v="7.5"/>
  </r>
  <r>
    <n v="280"/>
    <n v="2023"/>
    <n v="4"/>
    <n v="4"/>
    <s v="April"/>
    <s v="Tuesday"/>
    <d v="2023-04-04T00:00:00"/>
    <s v="CUST280"/>
    <x v="1"/>
    <n v="37"/>
    <x v="0"/>
    <x v="1"/>
    <n v="3"/>
    <n v="500"/>
    <n v="1500"/>
    <n v="22.5"/>
  </r>
  <r>
    <n v="281"/>
    <n v="2023"/>
    <n v="5"/>
    <n v="23"/>
    <s v="May"/>
    <s v="Tuesday"/>
    <d v="2023-05-23T00:00:00"/>
    <s v="CUST281"/>
    <x v="1"/>
    <n v="29"/>
    <x v="1"/>
    <x v="0"/>
    <n v="4"/>
    <n v="500"/>
    <n v="2000"/>
    <n v="30"/>
  </r>
  <r>
    <n v="282"/>
    <n v="2023"/>
    <n v="8"/>
    <n v="25"/>
    <s v="August"/>
    <s v="Friday"/>
    <d v="2023-08-25T00:00:00"/>
    <s v="CUST282"/>
    <x v="1"/>
    <n v="64"/>
    <x v="2"/>
    <x v="2"/>
    <n v="4"/>
    <n v="50"/>
    <n v="200"/>
    <n v="3"/>
  </r>
  <r>
    <n v="283"/>
    <n v="2023"/>
    <n v="5"/>
    <n v="8"/>
    <s v="May"/>
    <s v="Monday"/>
    <d v="2023-05-08T00:00:00"/>
    <s v="CUST283"/>
    <x v="1"/>
    <n v="18"/>
    <x v="1"/>
    <x v="2"/>
    <n v="1"/>
    <n v="500"/>
    <n v="500"/>
    <n v="7.5"/>
  </r>
  <r>
    <n v="284"/>
    <n v="2023"/>
    <n v="2"/>
    <n v="8"/>
    <s v="February"/>
    <s v="Wednesday"/>
    <d v="2023-02-08T00:00:00"/>
    <s v="CUST284"/>
    <x v="0"/>
    <n v="43"/>
    <x v="0"/>
    <x v="1"/>
    <n v="4"/>
    <n v="50"/>
    <n v="200"/>
    <n v="3"/>
  </r>
  <r>
    <n v="285"/>
    <n v="2023"/>
    <n v="8"/>
    <n v="15"/>
    <s v="August"/>
    <s v="Tuesday"/>
    <d v="2023-08-15T00:00:00"/>
    <s v="CUST285"/>
    <x v="1"/>
    <n v="31"/>
    <x v="0"/>
    <x v="2"/>
    <n v="1"/>
    <n v="25"/>
    <n v="25"/>
    <n v="0.375"/>
  </r>
  <r>
    <n v="286"/>
    <n v="2023"/>
    <n v="10"/>
    <n v="9"/>
    <s v="October"/>
    <s v="Monday"/>
    <d v="2023-10-09T00:00:00"/>
    <s v="CUST286"/>
    <x v="0"/>
    <n v="55"/>
    <x v="2"/>
    <x v="2"/>
    <n v="2"/>
    <n v="25"/>
    <n v="50"/>
    <n v="0.75"/>
  </r>
  <r>
    <n v="287"/>
    <n v="2023"/>
    <n v="2"/>
    <n v="20"/>
    <s v="February"/>
    <s v="Monday"/>
    <d v="2023-02-20T00:00:00"/>
    <s v="CUST287"/>
    <x v="0"/>
    <n v="54"/>
    <x v="2"/>
    <x v="1"/>
    <n v="4"/>
    <n v="25"/>
    <n v="100"/>
    <n v="1.5"/>
  </r>
  <r>
    <n v="288"/>
    <n v="2023"/>
    <n v="1"/>
    <n v="26"/>
    <s v="January"/>
    <s v="Thursday"/>
    <d v="2023-01-26T00:00:00"/>
    <s v="CUST288"/>
    <x v="0"/>
    <n v="28"/>
    <x v="1"/>
    <x v="1"/>
    <n v="4"/>
    <n v="30"/>
    <n v="120"/>
    <n v="1.7999999999999998"/>
  </r>
  <r>
    <n v="289"/>
    <n v="2023"/>
    <n v="11"/>
    <n v="30"/>
    <s v="November"/>
    <s v="Thursday"/>
    <d v="2023-11-30T00:00:00"/>
    <s v="CUST289"/>
    <x v="0"/>
    <n v="53"/>
    <x v="2"/>
    <x v="2"/>
    <n v="2"/>
    <n v="30"/>
    <n v="60"/>
    <n v="0.89999999999999991"/>
  </r>
  <r>
    <n v="290"/>
    <n v="2023"/>
    <n v="10"/>
    <n v="4"/>
    <s v="October"/>
    <s v="Wednesday"/>
    <d v="2023-10-04T00:00:00"/>
    <s v="CUST290"/>
    <x v="1"/>
    <n v="30"/>
    <x v="0"/>
    <x v="0"/>
    <n v="2"/>
    <n v="300"/>
    <n v="600"/>
    <n v="9"/>
  </r>
  <r>
    <n v="291"/>
    <n v="2023"/>
    <n v="1"/>
    <n v="8"/>
    <s v="January"/>
    <s v="Sunday"/>
    <d v="2023-01-08T00:00:00"/>
    <s v="CUST291"/>
    <x v="0"/>
    <n v="60"/>
    <x v="2"/>
    <x v="1"/>
    <n v="2"/>
    <n v="300"/>
    <n v="600"/>
    <n v="9"/>
  </r>
  <r>
    <n v="292"/>
    <n v="2023"/>
    <n v="2"/>
    <n v="17"/>
    <s v="February"/>
    <s v="Friday"/>
    <d v="2023-02-17T00:00:00"/>
    <s v="CUST292"/>
    <x v="0"/>
    <n v="20"/>
    <x v="1"/>
    <x v="0"/>
    <n v="4"/>
    <n v="300"/>
    <n v="1200"/>
    <n v="18"/>
  </r>
  <r>
    <n v="293"/>
    <n v="2023"/>
    <n v="5"/>
    <n v="2"/>
    <s v="May"/>
    <s v="Tuesday"/>
    <d v="2023-05-02T00:00:00"/>
    <s v="CUST293"/>
    <x v="0"/>
    <n v="50"/>
    <x v="2"/>
    <x v="2"/>
    <n v="3"/>
    <n v="30"/>
    <n v="90"/>
    <n v="1.3499999999999999"/>
  </r>
  <r>
    <n v="294"/>
    <n v="2023"/>
    <n v="3"/>
    <n v="27"/>
    <s v="March"/>
    <s v="Monday"/>
    <d v="2023-03-27T00:00:00"/>
    <s v="CUST294"/>
    <x v="1"/>
    <n v="23"/>
    <x v="1"/>
    <x v="1"/>
    <n v="3"/>
    <n v="30"/>
    <n v="90"/>
    <n v="1.3499999999999999"/>
  </r>
  <r>
    <n v="295"/>
    <n v="2023"/>
    <n v="7"/>
    <n v="28"/>
    <s v="July"/>
    <s v="Friday"/>
    <d v="2023-07-28T00:00:00"/>
    <s v="CUST295"/>
    <x v="1"/>
    <n v="27"/>
    <x v="1"/>
    <x v="0"/>
    <n v="3"/>
    <n v="300"/>
    <n v="900"/>
    <n v="13.5"/>
  </r>
  <r>
    <n v="296"/>
    <n v="2023"/>
    <n v="9"/>
    <n v="6"/>
    <s v="September"/>
    <s v="Wednesday"/>
    <d v="2023-09-06T00:00:00"/>
    <s v="CUST296"/>
    <x v="1"/>
    <n v="22"/>
    <x v="1"/>
    <x v="1"/>
    <n v="4"/>
    <n v="300"/>
    <n v="1200"/>
    <n v="18"/>
  </r>
  <r>
    <n v="297"/>
    <n v="2023"/>
    <n v="9"/>
    <n v="4"/>
    <s v="September"/>
    <s v="Monday"/>
    <d v="2023-09-04T00:00:00"/>
    <s v="CUST297"/>
    <x v="1"/>
    <n v="40"/>
    <x v="0"/>
    <x v="2"/>
    <n v="2"/>
    <n v="500"/>
    <n v="1000"/>
    <n v="15"/>
  </r>
  <r>
    <n v="298"/>
    <n v="2023"/>
    <n v="4"/>
    <n v="20"/>
    <s v="April"/>
    <s v="Thursday"/>
    <d v="2023-04-20T00:00:00"/>
    <s v="CUST298"/>
    <x v="0"/>
    <n v="27"/>
    <x v="1"/>
    <x v="0"/>
    <n v="4"/>
    <n v="300"/>
    <n v="1200"/>
    <n v="18"/>
  </r>
  <r>
    <n v="299"/>
    <n v="2023"/>
    <n v="7"/>
    <n v="25"/>
    <s v="July"/>
    <s v="Tuesday"/>
    <d v="2023-07-25T00:00:00"/>
    <s v="CUST299"/>
    <x v="0"/>
    <n v="61"/>
    <x v="2"/>
    <x v="2"/>
    <n v="2"/>
    <n v="500"/>
    <n v="1000"/>
    <n v="15"/>
  </r>
  <r>
    <n v="300"/>
    <n v="2023"/>
    <n v="1"/>
    <n v="31"/>
    <s v="January"/>
    <s v="Tuesday"/>
    <d v="2023-01-31T00:00:00"/>
    <s v="CUST300"/>
    <x v="1"/>
    <n v="19"/>
    <x v="1"/>
    <x v="2"/>
    <n v="4"/>
    <n v="50"/>
    <n v="200"/>
    <n v="3"/>
  </r>
  <r>
    <n v="301"/>
    <n v="2023"/>
    <n v="3"/>
    <n v="26"/>
    <s v="March"/>
    <s v="Sunday"/>
    <d v="2023-03-26T00:00:00"/>
    <s v="CUST301"/>
    <x v="0"/>
    <n v="30"/>
    <x v="0"/>
    <x v="1"/>
    <n v="4"/>
    <n v="30"/>
    <n v="120"/>
    <n v="1.7999999999999998"/>
  </r>
  <r>
    <n v="302"/>
    <n v="2023"/>
    <n v="7"/>
    <n v="14"/>
    <s v="July"/>
    <s v="Friday"/>
    <d v="2023-07-14T00:00:00"/>
    <s v="CUST302"/>
    <x v="0"/>
    <n v="57"/>
    <x v="2"/>
    <x v="0"/>
    <n v="2"/>
    <n v="300"/>
    <n v="600"/>
    <n v="9"/>
  </r>
  <r>
    <n v="303"/>
    <n v="2023"/>
    <n v="1"/>
    <n v="2"/>
    <s v="January"/>
    <s v="Monday"/>
    <d v="2023-01-02T00:00:00"/>
    <s v="CUST303"/>
    <x v="0"/>
    <n v="19"/>
    <x v="1"/>
    <x v="2"/>
    <n v="3"/>
    <n v="30"/>
    <n v="90"/>
    <n v="1.3499999999999999"/>
  </r>
  <r>
    <n v="304"/>
    <n v="2023"/>
    <n v="7"/>
    <n v="19"/>
    <s v="July"/>
    <s v="Wednesday"/>
    <d v="2023-07-19T00:00:00"/>
    <s v="CUST304"/>
    <x v="1"/>
    <n v="37"/>
    <x v="0"/>
    <x v="2"/>
    <n v="2"/>
    <n v="30"/>
    <n v="60"/>
    <n v="0.89999999999999991"/>
  </r>
  <r>
    <n v="305"/>
    <n v="2023"/>
    <n v="5"/>
    <n v="16"/>
    <s v="May"/>
    <s v="Tuesday"/>
    <d v="2023-05-16T00:00:00"/>
    <s v="CUST305"/>
    <x v="1"/>
    <n v="18"/>
    <x v="1"/>
    <x v="0"/>
    <n v="1"/>
    <n v="30"/>
    <n v="30"/>
    <n v="0.44999999999999996"/>
  </r>
  <r>
    <n v="306"/>
    <n v="2023"/>
    <n v="8"/>
    <n v="21"/>
    <s v="August"/>
    <s v="Monday"/>
    <d v="2023-08-21T00:00:00"/>
    <s v="CUST306"/>
    <x v="0"/>
    <n v="54"/>
    <x v="2"/>
    <x v="2"/>
    <n v="1"/>
    <n v="50"/>
    <n v="50"/>
    <n v="0.75"/>
  </r>
  <r>
    <n v="307"/>
    <n v="2023"/>
    <n v="5"/>
    <n v="27"/>
    <s v="May"/>
    <s v="Saturday"/>
    <d v="2023-05-27T00:00:00"/>
    <s v="CUST307"/>
    <x v="1"/>
    <n v="26"/>
    <x v="1"/>
    <x v="2"/>
    <n v="2"/>
    <n v="25"/>
    <n v="50"/>
    <n v="0.75"/>
  </r>
  <r>
    <n v="308"/>
    <n v="2023"/>
    <n v="8"/>
    <n v="5"/>
    <s v="August"/>
    <s v="Saturday"/>
    <d v="2023-08-05T00:00:00"/>
    <s v="CUST308"/>
    <x v="1"/>
    <n v="34"/>
    <x v="0"/>
    <x v="0"/>
    <n v="4"/>
    <n v="300"/>
    <n v="1200"/>
    <n v="18"/>
  </r>
  <r>
    <n v="309"/>
    <n v="2023"/>
    <n v="12"/>
    <n v="23"/>
    <s v="December"/>
    <s v="Saturday"/>
    <d v="2023-12-23T00:00:00"/>
    <s v="CUST309"/>
    <x v="1"/>
    <n v="26"/>
    <x v="1"/>
    <x v="0"/>
    <n v="1"/>
    <n v="25"/>
    <n v="25"/>
    <n v="0.375"/>
  </r>
  <r>
    <n v="310"/>
    <n v="2023"/>
    <n v="10"/>
    <n v="12"/>
    <s v="October"/>
    <s v="Thursday"/>
    <d v="2023-10-12T00:00:00"/>
    <s v="CUST310"/>
    <x v="1"/>
    <n v="28"/>
    <x v="1"/>
    <x v="0"/>
    <n v="1"/>
    <n v="25"/>
    <n v="25"/>
    <n v="0.375"/>
  </r>
  <r>
    <n v="311"/>
    <n v="2023"/>
    <n v="12"/>
    <n v="5"/>
    <s v="December"/>
    <s v="Tuesday"/>
    <d v="2023-12-05T00:00:00"/>
    <s v="CUST311"/>
    <x v="1"/>
    <n v="32"/>
    <x v="0"/>
    <x v="0"/>
    <n v="4"/>
    <n v="25"/>
    <n v="100"/>
    <n v="1.5"/>
  </r>
  <r>
    <n v="312"/>
    <n v="2023"/>
    <n v="9"/>
    <n v="7"/>
    <s v="September"/>
    <s v="Thursday"/>
    <d v="2023-09-07T00:00:00"/>
    <s v="CUST312"/>
    <x v="0"/>
    <n v="41"/>
    <x v="0"/>
    <x v="1"/>
    <n v="4"/>
    <n v="30"/>
    <n v="120"/>
    <n v="1.7999999999999998"/>
  </r>
  <r>
    <n v="313"/>
    <n v="2023"/>
    <n v="3"/>
    <n v="21"/>
    <s v="March"/>
    <s v="Tuesday"/>
    <d v="2023-03-21T00:00:00"/>
    <s v="CUST313"/>
    <x v="1"/>
    <n v="55"/>
    <x v="2"/>
    <x v="0"/>
    <n v="3"/>
    <n v="500"/>
    <n v="1500"/>
    <n v="22.5"/>
  </r>
  <r>
    <n v="314"/>
    <n v="2023"/>
    <n v="4"/>
    <n v="8"/>
    <s v="April"/>
    <s v="Saturday"/>
    <d v="2023-04-08T00:00:00"/>
    <s v="CUST314"/>
    <x v="0"/>
    <n v="52"/>
    <x v="2"/>
    <x v="1"/>
    <n v="4"/>
    <n v="30"/>
    <n v="120"/>
    <n v="1.7999999999999998"/>
  </r>
  <r>
    <n v="315"/>
    <n v="2023"/>
    <n v="6"/>
    <n v="1"/>
    <s v="June"/>
    <s v="Thursday"/>
    <d v="2023-06-01T00:00:00"/>
    <s v="CUST315"/>
    <x v="0"/>
    <n v="47"/>
    <x v="0"/>
    <x v="1"/>
    <n v="2"/>
    <n v="30"/>
    <n v="60"/>
    <n v="0.89999999999999991"/>
  </r>
  <r>
    <n v="316"/>
    <n v="2023"/>
    <n v="4"/>
    <n v="22"/>
    <s v="April"/>
    <s v="Saturday"/>
    <d v="2023-04-22T00:00:00"/>
    <s v="CUST316"/>
    <x v="1"/>
    <n v="48"/>
    <x v="0"/>
    <x v="1"/>
    <n v="2"/>
    <n v="25"/>
    <n v="50"/>
    <n v="0.75"/>
  </r>
  <r>
    <n v="317"/>
    <n v="2023"/>
    <n v="1"/>
    <n v="30"/>
    <s v="January"/>
    <s v="Monday"/>
    <d v="2023-01-30T00:00:00"/>
    <s v="CUST317"/>
    <x v="0"/>
    <n v="22"/>
    <x v="1"/>
    <x v="2"/>
    <n v="3"/>
    <n v="30"/>
    <n v="90"/>
    <n v="1.3499999999999999"/>
  </r>
  <r>
    <n v="318"/>
    <n v="2023"/>
    <n v="10"/>
    <n v="24"/>
    <s v="October"/>
    <s v="Tuesday"/>
    <d v="2023-10-24T00:00:00"/>
    <s v="CUST318"/>
    <x v="0"/>
    <n v="61"/>
    <x v="2"/>
    <x v="1"/>
    <n v="1"/>
    <n v="25"/>
    <n v="25"/>
    <n v="0.375"/>
  </r>
  <r>
    <n v="319"/>
    <n v="2023"/>
    <n v="10"/>
    <n v="5"/>
    <s v="October"/>
    <s v="Thursday"/>
    <d v="2023-10-05T00:00:00"/>
    <s v="CUST319"/>
    <x v="0"/>
    <n v="31"/>
    <x v="0"/>
    <x v="1"/>
    <n v="1"/>
    <n v="500"/>
    <n v="500"/>
    <n v="7.5"/>
  </r>
  <r>
    <n v="320"/>
    <n v="2023"/>
    <n v="2"/>
    <n v="1"/>
    <s v="February"/>
    <s v="Wednesday"/>
    <d v="2023-02-01T00:00:00"/>
    <s v="CUST320"/>
    <x v="1"/>
    <n v="28"/>
    <x v="1"/>
    <x v="2"/>
    <n v="4"/>
    <n v="300"/>
    <n v="1200"/>
    <n v="18"/>
  </r>
  <r>
    <n v="321"/>
    <n v="2023"/>
    <n v="6"/>
    <n v="10"/>
    <s v="June"/>
    <s v="Saturday"/>
    <d v="2023-06-10T00:00:00"/>
    <s v="CUST321"/>
    <x v="1"/>
    <n v="26"/>
    <x v="1"/>
    <x v="2"/>
    <n v="2"/>
    <n v="25"/>
    <n v="50"/>
    <n v="0.75"/>
  </r>
  <r>
    <n v="322"/>
    <n v="2023"/>
    <n v="1"/>
    <n v="30"/>
    <s v="January"/>
    <s v="Monday"/>
    <d v="2023-01-30T00:00:00"/>
    <s v="CUST322"/>
    <x v="0"/>
    <n v="51"/>
    <x v="2"/>
    <x v="2"/>
    <n v="1"/>
    <n v="500"/>
    <n v="500"/>
    <n v="7.5"/>
  </r>
  <r>
    <n v="323"/>
    <n v="2023"/>
    <n v="1"/>
    <n v="26"/>
    <s v="January"/>
    <s v="Thursday"/>
    <d v="2023-01-26T00:00:00"/>
    <s v="CUST323"/>
    <x v="1"/>
    <n v="29"/>
    <x v="1"/>
    <x v="0"/>
    <n v="3"/>
    <n v="300"/>
    <n v="900"/>
    <n v="13.5"/>
  </r>
  <r>
    <n v="324"/>
    <n v="2023"/>
    <n v="10"/>
    <n v="27"/>
    <s v="October"/>
    <s v="Friday"/>
    <d v="2023-10-27T00:00:00"/>
    <s v="CUST324"/>
    <x v="1"/>
    <n v="52"/>
    <x v="2"/>
    <x v="2"/>
    <n v="3"/>
    <n v="50"/>
    <n v="150"/>
    <n v="2.25"/>
  </r>
  <r>
    <n v="325"/>
    <n v="2023"/>
    <n v="9"/>
    <n v="2"/>
    <s v="September"/>
    <s v="Saturday"/>
    <d v="2023-09-02T00:00:00"/>
    <s v="CUST325"/>
    <x v="1"/>
    <n v="52"/>
    <x v="2"/>
    <x v="2"/>
    <n v="2"/>
    <n v="25"/>
    <n v="50"/>
    <n v="0.75"/>
  </r>
  <r>
    <n v="326"/>
    <n v="2023"/>
    <n v="9"/>
    <n v="15"/>
    <s v="September"/>
    <s v="Friday"/>
    <d v="2023-09-15T00:00:00"/>
    <s v="CUST326"/>
    <x v="1"/>
    <n v="18"/>
    <x v="1"/>
    <x v="1"/>
    <n v="3"/>
    <n v="25"/>
    <n v="75"/>
    <n v="1.125"/>
  </r>
  <r>
    <n v="327"/>
    <n v="2023"/>
    <n v="9"/>
    <n v="29"/>
    <s v="September"/>
    <s v="Friday"/>
    <d v="2023-09-29T00:00:00"/>
    <s v="CUST327"/>
    <x v="0"/>
    <n v="57"/>
    <x v="2"/>
    <x v="2"/>
    <n v="3"/>
    <n v="50"/>
    <n v="150"/>
    <n v="2.25"/>
  </r>
  <r>
    <n v="328"/>
    <n v="2023"/>
    <n v="3"/>
    <n v="22"/>
    <s v="March"/>
    <s v="Wednesday"/>
    <d v="2023-03-22T00:00:00"/>
    <s v="CUST328"/>
    <x v="0"/>
    <n v="39"/>
    <x v="0"/>
    <x v="0"/>
    <n v="2"/>
    <n v="50"/>
    <n v="100"/>
    <n v="1.5"/>
  </r>
  <r>
    <n v="329"/>
    <n v="2023"/>
    <n v="1"/>
    <n v="30"/>
    <s v="January"/>
    <s v="Monday"/>
    <d v="2023-01-30T00:00:00"/>
    <s v="CUST329"/>
    <x v="1"/>
    <n v="46"/>
    <x v="0"/>
    <x v="2"/>
    <n v="4"/>
    <n v="25"/>
    <n v="100"/>
    <n v="1.5"/>
  </r>
  <r>
    <n v="330"/>
    <n v="2023"/>
    <n v="9"/>
    <n v="18"/>
    <s v="September"/>
    <s v="Monday"/>
    <d v="2023-09-18T00:00:00"/>
    <s v="CUST330"/>
    <x v="1"/>
    <n v="25"/>
    <x v="1"/>
    <x v="0"/>
    <n v="4"/>
    <n v="50"/>
    <n v="200"/>
    <n v="3"/>
  </r>
  <r>
    <n v="331"/>
    <n v="2023"/>
    <n v="2"/>
    <n v="11"/>
    <s v="February"/>
    <s v="Saturday"/>
    <d v="2023-02-11T00:00:00"/>
    <s v="CUST331"/>
    <x v="0"/>
    <n v="28"/>
    <x v="1"/>
    <x v="2"/>
    <n v="3"/>
    <n v="30"/>
    <n v="90"/>
    <n v="1.3499999999999999"/>
  </r>
  <r>
    <n v="332"/>
    <n v="2023"/>
    <n v="4"/>
    <n v="6"/>
    <s v="April"/>
    <s v="Thursday"/>
    <d v="2023-04-06T00:00:00"/>
    <s v="CUST332"/>
    <x v="0"/>
    <n v="58"/>
    <x v="2"/>
    <x v="2"/>
    <n v="4"/>
    <n v="300"/>
    <n v="1200"/>
    <n v="18"/>
  </r>
  <r>
    <n v="333"/>
    <n v="2023"/>
    <n v="2"/>
    <n v="5"/>
    <s v="February"/>
    <s v="Sunday"/>
    <d v="2023-02-05T00:00:00"/>
    <s v="CUST333"/>
    <x v="1"/>
    <n v="54"/>
    <x v="2"/>
    <x v="2"/>
    <n v="4"/>
    <n v="300"/>
    <n v="1200"/>
    <n v="18"/>
  </r>
  <r>
    <n v="334"/>
    <n v="2023"/>
    <n v="11"/>
    <n v="1"/>
    <s v="November"/>
    <s v="Wednesday"/>
    <d v="2023-11-01T00:00:00"/>
    <s v="CUST334"/>
    <x v="0"/>
    <n v="31"/>
    <x v="0"/>
    <x v="2"/>
    <n v="3"/>
    <n v="300"/>
    <n v="900"/>
    <n v="13.5"/>
  </r>
  <r>
    <n v="335"/>
    <n v="2023"/>
    <n v="2"/>
    <n v="4"/>
    <s v="February"/>
    <s v="Saturday"/>
    <d v="2023-02-04T00:00:00"/>
    <s v="CUST335"/>
    <x v="1"/>
    <n v="47"/>
    <x v="0"/>
    <x v="0"/>
    <n v="4"/>
    <n v="30"/>
    <n v="120"/>
    <n v="1.7999999999999998"/>
  </r>
  <r>
    <n v="336"/>
    <n v="2023"/>
    <n v="12"/>
    <n v="12"/>
    <s v="December"/>
    <s v="Tuesday"/>
    <d v="2023-12-12T00:00:00"/>
    <s v="CUST336"/>
    <x v="1"/>
    <n v="52"/>
    <x v="2"/>
    <x v="0"/>
    <n v="3"/>
    <n v="50"/>
    <n v="150"/>
    <n v="2.25"/>
  </r>
  <r>
    <n v="337"/>
    <n v="2023"/>
    <n v="5"/>
    <n v="1"/>
    <s v="May"/>
    <s v="Monday"/>
    <d v="2023-05-01T00:00:00"/>
    <s v="CUST337"/>
    <x v="0"/>
    <n v="38"/>
    <x v="0"/>
    <x v="1"/>
    <n v="1"/>
    <n v="500"/>
    <n v="500"/>
    <n v="7.5"/>
  </r>
  <r>
    <n v="338"/>
    <n v="2023"/>
    <n v="7"/>
    <n v="26"/>
    <s v="July"/>
    <s v="Wednesday"/>
    <d v="2023-07-26T00:00:00"/>
    <s v="CUST338"/>
    <x v="0"/>
    <n v="54"/>
    <x v="2"/>
    <x v="0"/>
    <n v="2"/>
    <n v="50"/>
    <n v="100"/>
    <n v="1.5"/>
  </r>
  <r>
    <n v="339"/>
    <n v="2023"/>
    <n v="3"/>
    <n v="3"/>
    <s v="March"/>
    <s v="Friday"/>
    <d v="2023-03-03T00:00:00"/>
    <s v="CUST339"/>
    <x v="1"/>
    <n v="22"/>
    <x v="1"/>
    <x v="2"/>
    <n v="2"/>
    <n v="25"/>
    <n v="50"/>
    <n v="0.75"/>
  </r>
  <r>
    <n v="340"/>
    <n v="2023"/>
    <n v="10"/>
    <n v="19"/>
    <s v="October"/>
    <s v="Thursday"/>
    <d v="2023-10-19T00:00:00"/>
    <s v="CUST340"/>
    <x v="1"/>
    <n v="36"/>
    <x v="0"/>
    <x v="1"/>
    <n v="4"/>
    <n v="300"/>
    <n v="1200"/>
    <n v="18"/>
  </r>
  <r>
    <n v="341"/>
    <n v="2023"/>
    <n v="5"/>
    <n v="7"/>
    <s v="May"/>
    <s v="Sunday"/>
    <d v="2023-05-07T00:00:00"/>
    <s v="CUST341"/>
    <x v="0"/>
    <n v="31"/>
    <x v="0"/>
    <x v="1"/>
    <n v="4"/>
    <n v="50"/>
    <n v="200"/>
    <n v="3"/>
  </r>
  <r>
    <n v="342"/>
    <n v="2023"/>
    <n v="10"/>
    <n v="24"/>
    <s v="October"/>
    <s v="Tuesday"/>
    <d v="2023-10-24T00:00:00"/>
    <s v="CUST342"/>
    <x v="1"/>
    <n v="43"/>
    <x v="0"/>
    <x v="1"/>
    <n v="4"/>
    <n v="500"/>
    <n v="2000"/>
    <n v="30"/>
  </r>
  <r>
    <n v="343"/>
    <n v="2023"/>
    <n v="11"/>
    <n v="1"/>
    <s v="November"/>
    <s v="Wednesday"/>
    <d v="2023-11-01T00:00:00"/>
    <s v="CUST343"/>
    <x v="0"/>
    <n v="21"/>
    <x v="1"/>
    <x v="2"/>
    <n v="2"/>
    <n v="25"/>
    <n v="50"/>
    <n v="0.75"/>
  </r>
  <r>
    <n v="344"/>
    <n v="2023"/>
    <n v="1"/>
    <n v="21"/>
    <s v="January"/>
    <s v="Saturday"/>
    <d v="2023-01-21T00:00:00"/>
    <s v="CUST344"/>
    <x v="1"/>
    <n v="42"/>
    <x v="0"/>
    <x v="0"/>
    <n v="1"/>
    <n v="30"/>
    <n v="30"/>
    <n v="0.44999999999999996"/>
  </r>
  <r>
    <n v="345"/>
    <n v="2023"/>
    <n v="11"/>
    <n v="14"/>
    <s v="November"/>
    <s v="Tuesday"/>
    <d v="2023-11-14T00:00:00"/>
    <s v="CUST345"/>
    <x v="0"/>
    <n v="62"/>
    <x v="2"/>
    <x v="2"/>
    <n v="1"/>
    <n v="30"/>
    <n v="30"/>
    <n v="0.44999999999999996"/>
  </r>
  <r>
    <n v="346"/>
    <n v="2023"/>
    <n v="2"/>
    <n v="11"/>
    <s v="February"/>
    <s v="Saturday"/>
    <d v="2023-02-11T00:00:00"/>
    <s v="CUST346"/>
    <x v="0"/>
    <n v="59"/>
    <x v="2"/>
    <x v="1"/>
    <n v="2"/>
    <n v="500"/>
    <n v="1000"/>
    <n v="15"/>
  </r>
  <r>
    <n v="347"/>
    <n v="2023"/>
    <n v="8"/>
    <n v="3"/>
    <s v="August"/>
    <s v="Thursday"/>
    <d v="2023-08-03T00:00:00"/>
    <s v="CUST347"/>
    <x v="0"/>
    <n v="42"/>
    <x v="0"/>
    <x v="2"/>
    <n v="1"/>
    <n v="25"/>
    <n v="25"/>
    <n v="0.375"/>
  </r>
  <r>
    <n v="348"/>
    <n v="2023"/>
    <n v="12"/>
    <n v="3"/>
    <s v="December"/>
    <s v="Sunday"/>
    <d v="2023-12-03T00:00:00"/>
    <s v="CUST348"/>
    <x v="1"/>
    <n v="35"/>
    <x v="0"/>
    <x v="2"/>
    <n v="2"/>
    <n v="300"/>
    <n v="600"/>
    <n v="9"/>
  </r>
  <r>
    <n v="349"/>
    <n v="2023"/>
    <n v="10"/>
    <n v="26"/>
    <s v="October"/>
    <s v="Thursday"/>
    <d v="2023-10-26T00:00:00"/>
    <s v="CUST349"/>
    <x v="1"/>
    <n v="57"/>
    <x v="2"/>
    <x v="0"/>
    <n v="1"/>
    <n v="50"/>
    <n v="50"/>
    <n v="0.75"/>
  </r>
  <r>
    <n v="350"/>
    <n v="2023"/>
    <n v="10"/>
    <n v="17"/>
    <s v="October"/>
    <s v="Tuesday"/>
    <d v="2023-10-17T00:00:00"/>
    <s v="CUST350"/>
    <x v="0"/>
    <n v="25"/>
    <x v="1"/>
    <x v="0"/>
    <n v="3"/>
    <n v="25"/>
    <n v="75"/>
    <n v="1.125"/>
  </r>
  <r>
    <n v="351"/>
    <n v="2023"/>
    <n v="9"/>
    <n v="25"/>
    <s v="September"/>
    <s v="Monday"/>
    <d v="2023-09-25T00:00:00"/>
    <s v="CUST351"/>
    <x v="1"/>
    <n v="56"/>
    <x v="2"/>
    <x v="1"/>
    <n v="3"/>
    <n v="30"/>
    <n v="90"/>
    <n v="1.3499999999999999"/>
  </r>
  <r>
    <n v="352"/>
    <n v="2023"/>
    <n v="6"/>
    <n v="11"/>
    <s v="June"/>
    <s v="Sunday"/>
    <d v="2023-06-11T00:00:00"/>
    <s v="CUST352"/>
    <x v="0"/>
    <n v="57"/>
    <x v="2"/>
    <x v="2"/>
    <n v="2"/>
    <n v="500"/>
    <n v="1000"/>
    <n v="15"/>
  </r>
  <r>
    <n v="353"/>
    <n v="2023"/>
    <n v="5"/>
    <n v="14"/>
    <s v="May"/>
    <s v="Sunday"/>
    <d v="2023-05-14T00:00:00"/>
    <s v="CUST353"/>
    <x v="0"/>
    <n v="31"/>
    <x v="0"/>
    <x v="2"/>
    <n v="1"/>
    <n v="500"/>
    <n v="500"/>
    <n v="7.5"/>
  </r>
  <r>
    <n v="354"/>
    <n v="2023"/>
    <n v="4"/>
    <n v="15"/>
    <s v="April"/>
    <s v="Saturday"/>
    <d v="2023-04-15T00:00:00"/>
    <s v="CUST354"/>
    <x v="1"/>
    <n v="49"/>
    <x v="0"/>
    <x v="0"/>
    <n v="4"/>
    <n v="50"/>
    <n v="200"/>
    <n v="3"/>
  </r>
  <r>
    <n v="355"/>
    <n v="2023"/>
    <n v="12"/>
    <n v="9"/>
    <s v="December"/>
    <s v="Saturday"/>
    <d v="2023-12-09T00:00:00"/>
    <s v="CUST355"/>
    <x v="1"/>
    <n v="55"/>
    <x v="2"/>
    <x v="2"/>
    <n v="1"/>
    <n v="500"/>
    <n v="500"/>
    <n v="7.5"/>
  </r>
  <r>
    <n v="356"/>
    <n v="2023"/>
    <n v="6"/>
    <n v="10"/>
    <s v="June"/>
    <s v="Saturday"/>
    <d v="2023-06-10T00:00:00"/>
    <s v="CUST356"/>
    <x v="0"/>
    <n v="50"/>
    <x v="2"/>
    <x v="2"/>
    <n v="3"/>
    <n v="500"/>
    <n v="1500"/>
    <n v="22.5"/>
  </r>
  <r>
    <n v="357"/>
    <n v="2023"/>
    <n v="5"/>
    <n v="3"/>
    <s v="May"/>
    <s v="Wednesday"/>
    <d v="2023-05-03T00:00:00"/>
    <s v="CUST357"/>
    <x v="1"/>
    <n v="40"/>
    <x v="0"/>
    <x v="2"/>
    <n v="3"/>
    <n v="25"/>
    <n v="75"/>
    <n v="1.125"/>
  </r>
  <r>
    <n v="358"/>
    <n v="2023"/>
    <n v="5"/>
    <n v="16"/>
    <s v="May"/>
    <s v="Tuesday"/>
    <d v="2023-05-16T00:00:00"/>
    <s v="CUST358"/>
    <x v="1"/>
    <n v="32"/>
    <x v="0"/>
    <x v="0"/>
    <n v="1"/>
    <n v="300"/>
    <n v="300"/>
    <n v="4.5"/>
  </r>
  <r>
    <n v="359"/>
    <n v="2023"/>
    <n v="7"/>
    <n v="22"/>
    <s v="July"/>
    <s v="Saturday"/>
    <d v="2023-07-22T00:00:00"/>
    <s v="CUST359"/>
    <x v="0"/>
    <n v="50"/>
    <x v="2"/>
    <x v="1"/>
    <n v="1"/>
    <n v="50"/>
    <n v="50"/>
    <n v="0.75"/>
  </r>
  <r>
    <n v="360"/>
    <n v="2023"/>
    <n v="3"/>
    <n v="9"/>
    <s v="March"/>
    <s v="Thursday"/>
    <d v="2023-03-09T00:00:00"/>
    <s v="CUST360"/>
    <x v="0"/>
    <n v="42"/>
    <x v="0"/>
    <x v="1"/>
    <n v="4"/>
    <n v="25"/>
    <n v="100"/>
    <n v="1.5"/>
  </r>
  <r>
    <n v="361"/>
    <n v="2023"/>
    <n v="12"/>
    <n v="10"/>
    <s v="December"/>
    <s v="Sunday"/>
    <d v="2023-12-10T00:00:00"/>
    <s v="CUST361"/>
    <x v="1"/>
    <n v="34"/>
    <x v="0"/>
    <x v="2"/>
    <n v="4"/>
    <n v="300"/>
    <n v="1200"/>
    <n v="18"/>
  </r>
  <r>
    <n v="362"/>
    <n v="2023"/>
    <n v="11"/>
    <n v="27"/>
    <s v="November"/>
    <s v="Monday"/>
    <d v="2023-11-27T00:00:00"/>
    <s v="CUST362"/>
    <x v="0"/>
    <n v="50"/>
    <x v="2"/>
    <x v="1"/>
    <n v="1"/>
    <n v="25"/>
    <n v="25"/>
    <n v="0.375"/>
  </r>
  <r>
    <n v="363"/>
    <n v="2023"/>
    <n v="6"/>
    <n v="3"/>
    <s v="June"/>
    <s v="Saturday"/>
    <d v="2023-06-03T00:00:00"/>
    <s v="CUST363"/>
    <x v="0"/>
    <n v="64"/>
    <x v="2"/>
    <x v="0"/>
    <n v="1"/>
    <n v="25"/>
    <n v="25"/>
    <n v="0.375"/>
  </r>
  <r>
    <n v="364"/>
    <n v="2023"/>
    <n v="8"/>
    <n v="23"/>
    <s v="August"/>
    <s v="Wednesday"/>
    <d v="2023-08-23T00:00:00"/>
    <s v="CUST364"/>
    <x v="1"/>
    <n v="19"/>
    <x v="1"/>
    <x v="0"/>
    <n v="1"/>
    <n v="500"/>
    <n v="500"/>
    <n v="7.5"/>
  </r>
  <r>
    <n v="365"/>
    <n v="2023"/>
    <n v="6"/>
    <n v="11"/>
    <s v="June"/>
    <s v="Sunday"/>
    <d v="2023-06-11T00:00:00"/>
    <s v="CUST365"/>
    <x v="0"/>
    <n v="31"/>
    <x v="0"/>
    <x v="1"/>
    <n v="1"/>
    <n v="300"/>
    <n v="300"/>
    <n v="4.5"/>
  </r>
  <r>
    <n v="366"/>
    <n v="2023"/>
    <n v="2"/>
    <n v="7"/>
    <s v="February"/>
    <s v="Tuesday"/>
    <d v="2023-02-07T00:00:00"/>
    <s v="CUST366"/>
    <x v="0"/>
    <n v="57"/>
    <x v="2"/>
    <x v="1"/>
    <n v="2"/>
    <n v="50"/>
    <n v="100"/>
    <n v="1.5"/>
  </r>
  <r>
    <n v="367"/>
    <n v="2023"/>
    <n v="1"/>
    <n v="5"/>
    <s v="January"/>
    <s v="Thursday"/>
    <d v="2023-01-05T00:00:00"/>
    <s v="CUST367"/>
    <x v="1"/>
    <n v="57"/>
    <x v="2"/>
    <x v="2"/>
    <n v="1"/>
    <n v="50"/>
    <n v="50"/>
    <n v="0.75"/>
  </r>
  <r>
    <n v="368"/>
    <n v="2023"/>
    <n v="8"/>
    <n v="23"/>
    <s v="August"/>
    <s v="Wednesday"/>
    <d v="2023-08-23T00:00:00"/>
    <s v="CUST368"/>
    <x v="1"/>
    <n v="56"/>
    <x v="2"/>
    <x v="1"/>
    <n v="4"/>
    <n v="300"/>
    <n v="1200"/>
    <n v="18"/>
  </r>
  <r>
    <n v="369"/>
    <n v="2023"/>
    <n v="11"/>
    <n v="15"/>
    <s v="November"/>
    <s v="Wednesday"/>
    <d v="2023-11-15T00:00:00"/>
    <s v="CUST369"/>
    <x v="0"/>
    <n v="23"/>
    <x v="1"/>
    <x v="2"/>
    <n v="3"/>
    <n v="500"/>
    <n v="1500"/>
    <n v="22.5"/>
  </r>
  <r>
    <n v="370"/>
    <n v="2023"/>
    <n v="10"/>
    <n v="16"/>
    <s v="October"/>
    <s v="Monday"/>
    <d v="2023-10-16T00:00:00"/>
    <s v="CUST370"/>
    <x v="0"/>
    <n v="23"/>
    <x v="1"/>
    <x v="2"/>
    <n v="2"/>
    <n v="30"/>
    <n v="60"/>
    <n v="0.89999999999999991"/>
  </r>
  <r>
    <n v="371"/>
    <n v="2023"/>
    <n v="2"/>
    <n v="21"/>
    <s v="February"/>
    <s v="Tuesday"/>
    <d v="2023-02-21T00:00:00"/>
    <s v="CUST371"/>
    <x v="1"/>
    <n v="20"/>
    <x v="1"/>
    <x v="0"/>
    <n v="1"/>
    <n v="25"/>
    <n v="25"/>
    <n v="0.375"/>
  </r>
  <r>
    <n v="372"/>
    <n v="2023"/>
    <n v="2"/>
    <n v="7"/>
    <s v="February"/>
    <s v="Tuesday"/>
    <d v="2023-02-07T00:00:00"/>
    <s v="CUST372"/>
    <x v="1"/>
    <n v="24"/>
    <x v="1"/>
    <x v="0"/>
    <n v="3"/>
    <n v="500"/>
    <n v="1500"/>
    <n v="22.5"/>
  </r>
  <r>
    <n v="373"/>
    <n v="2023"/>
    <n v="10"/>
    <n v="3"/>
    <s v="October"/>
    <s v="Tuesday"/>
    <d v="2023-10-03T00:00:00"/>
    <s v="CUST373"/>
    <x v="1"/>
    <n v="25"/>
    <x v="1"/>
    <x v="0"/>
    <n v="2"/>
    <n v="300"/>
    <n v="600"/>
    <n v="9"/>
  </r>
  <r>
    <n v="374"/>
    <n v="2023"/>
    <n v="4"/>
    <n v="20"/>
    <s v="April"/>
    <s v="Thursday"/>
    <d v="2023-04-20T00:00:00"/>
    <s v="CUST374"/>
    <x v="1"/>
    <n v="59"/>
    <x v="2"/>
    <x v="0"/>
    <n v="3"/>
    <n v="25"/>
    <n v="75"/>
    <n v="1.125"/>
  </r>
  <r>
    <n v="375"/>
    <n v="2023"/>
    <n v="9"/>
    <n v="17"/>
    <s v="September"/>
    <s v="Sunday"/>
    <d v="2023-09-17T00:00:00"/>
    <s v="CUST375"/>
    <x v="0"/>
    <n v="32"/>
    <x v="0"/>
    <x v="1"/>
    <n v="1"/>
    <n v="50"/>
    <n v="50"/>
    <n v="0.75"/>
  </r>
  <r>
    <n v="376"/>
    <n v="2023"/>
    <n v="5"/>
    <n v="16"/>
    <s v="May"/>
    <s v="Tuesday"/>
    <d v="2023-05-16T00:00:00"/>
    <s v="CUST376"/>
    <x v="1"/>
    <n v="64"/>
    <x v="2"/>
    <x v="0"/>
    <n v="1"/>
    <n v="30"/>
    <n v="30"/>
    <n v="0.44999999999999996"/>
  </r>
  <r>
    <n v="377"/>
    <n v="2023"/>
    <n v="3"/>
    <n v="9"/>
    <s v="March"/>
    <s v="Thursday"/>
    <d v="2023-03-09T00:00:00"/>
    <s v="CUST377"/>
    <x v="1"/>
    <n v="46"/>
    <x v="0"/>
    <x v="1"/>
    <n v="4"/>
    <n v="50"/>
    <n v="200"/>
    <n v="3"/>
  </r>
  <r>
    <n v="378"/>
    <n v="2023"/>
    <n v="6"/>
    <n v="28"/>
    <s v="June"/>
    <s v="Wednesday"/>
    <d v="2023-06-28T00:00:00"/>
    <s v="CUST378"/>
    <x v="0"/>
    <n v="50"/>
    <x v="2"/>
    <x v="0"/>
    <n v="1"/>
    <n v="300"/>
    <n v="300"/>
    <n v="4.5"/>
  </r>
  <r>
    <n v="379"/>
    <n v="2023"/>
    <n v="2"/>
    <n v="5"/>
    <s v="February"/>
    <s v="Sunday"/>
    <d v="2023-02-05T00:00:00"/>
    <s v="CUST379"/>
    <x v="1"/>
    <n v="47"/>
    <x v="0"/>
    <x v="1"/>
    <n v="1"/>
    <n v="25"/>
    <n v="25"/>
    <n v="0.375"/>
  </r>
  <r>
    <n v="380"/>
    <n v="2023"/>
    <n v="5"/>
    <n v="6"/>
    <s v="May"/>
    <s v="Saturday"/>
    <d v="2023-05-06T00:00:00"/>
    <s v="CUST380"/>
    <x v="0"/>
    <n v="56"/>
    <x v="2"/>
    <x v="2"/>
    <n v="2"/>
    <n v="300"/>
    <n v="600"/>
    <n v="9"/>
  </r>
  <r>
    <n v="381"/>
    <n v="2023"/>
    <n v="7"/>
    <n v="9"/>
    <s v="July"/>
    <s v="Sunday"/>
    <d v="2023-07-09T00:00:00"/>
    <s v="CUST381"/>
    <x v="1"/>
    <n v="44"/>
    <x v="0"/>
    <x v="1"/>
    <n v="4"/>
    <n v="25"/>
    <n v="100"/>
    <n v="1.5"/>
  </r>
  <r>
    <n v="382"/>
    <n v="2023"/>
    <n v="5"/>
    <n v="26"/>
    <s v="May"/>
    <s v="Friday"/>
    <d v="2023-05-26T00:00:00"/>
    <s v="CUST382"/>
    <x v="1"/>
    <n v="53"/>
    <x v="2"/>
    <x v="1"/>
    <n v="2"/>
    <n v="500"/>
    <n v="1000"/>
    <n v="15"/>
  </r>
  <r>
    <n v="383"/>
    <n v="2023"/>
    <n v="3"/>
    <n v="22"/>
    <s v="March"/>
    <s v="Wednesday"/>
    <d v="2023-03-22T00:00:00"/>
    <s v="CUST383"/>
    <x v="1"/>
    <n v="46"/>
    <x v="0"/>
    <x v="0"/>
    <n v="3"/>
    <n v="30"/>
    <n v="90"/>
    <n v="1.3499999999999999"/>
  </r>
  <r>
    <n v="384"/>
    <n v="2023"/>
    <n v="8"/>
    <n v="13"/>
    <s v="August"/>
    <s v="Sunday"/>
    <d v="2023-08-13T00:00:00"/>
    <s v="CUST384"/>
    <x v="0"/>
    <n v="55"/>
    <x v="2"/>
    <x v="1"/>
    <n v="1"/>
    <n v="500"/>
    <n v="500"/>
    <n v="7.5"/>
  </r>
  <r>
    <n v="385"/>
    <n v="2023"/>
    <n v="10"/>
    <n v="6"/>
    <s v="October"/>
    <s v="Friday"/>
    <d v="2023-10-06T00:00:00"/>
    <s v="CUST385"/>
    <x v="0"/>
    <n v="50"/>
    <x v="2"/>
    <x v="2"/>
    <n v="3"/>
    <n v="500"/>
    <n v="1500"/>
    <n v="22.5"/>
  </r>
  <r>
    <n v="386"/>
    <n v="2023"/>
    <n v="12"/>
    <n v="27"/>
    <s v="December"/>
    <s v="Wednesday"/>
    <d v="2023-12-27T00:00:00"/>
    <s v="CUST386"/>
    <x v="1"/>
    <n v="54"/>
    <x v="2"/>
    <x v="2"/>
    <n v="2"/>
    <n v="300"/>
    <n v="600"/>
    <n v="9"/>
  </r>
  <r>
    <n v="387"/>
    <n v="2023"/>
    <n v="6"/>
    <n v="4"/>
    <s v="June"/>
    <s v="Sunday"/>
    <d v="2023-06-04T00:00:00"/>
    <s v="CUST387"/>
    <x v="0"/>
    <n v="44"/>
    <x v="0"/>
    <x v="0"/>
    <n v="1"/>
    <n v="30"/>
    <n v="30"/>
    <n v="0.44999999999999996"/>
  </r>
  <r>
    <n v="388"/>
    <n v="2023"/>
    <n v="11"/>
    <n v="10"/>
    <s v="November"/>
    <s v="Friday"/>
    <d v="2023-11-10T00:00:00"/>
    <s v="CUST388"/>
    <x v="0"/>
    <n v="50"/>
    <x v="2"/>
    <x v="2"/>
    <n v="1"/>
    <n v="25"/>
    <n v="25"/>
    <n v="0.375"/>
  </r>
  <r>
    <n v="389"/>
    <n v="2023"/>
    <n v="12"/>
    <n v="1"/>
    <s v="December"/>
    <s v="Friday"/>
    <d v="2023-12-01T00:00:00"/>
    <s v="CUST389"/>
    <x v="0"/>
    <n v="21"/>
    <x v="1"/>
    <x v="1"/>
    <n v="2"/>
    <n v="25"/>
    <n v="50"/>
    <n v="0.75"/>
  </r>
  <r>
    <n v="390"/>
    <n v="2023"/>
    <n v="9"/>
    <n v="28"/>
    <s v="September"/>
    <s v="Thursday"/>
    <d v="2023-09-28T00:00:00"/>
    <s v="CUST390"/>
    <x v="0"/>
    <n v="39"/>
    <x v="0"/>
    <x v="2"/>
    <n v="2"/>
    <n v="50"/>
    <n v="100"/>
    <n v="1.5"/>
  </r>
  <r>
    <n v="391"/>
    <n v="2023"/>
    <n v="1"/>
    <n v="5"/>
    <s v="January"/>
    <s v="Thursday"/>
    <d v="2023-01-05T00:00:00"/>
    <s v="CUST391"/>
    <x v="0"/>
    <n v="19"/>
    <x v="1"/>
    <x v="0"/>
    <n v="2"/>
    <n v="25"/>
    <n v="50"/>
    <n v="0.75"/>
  </r>
  <r>
    <n v="392"/>
    <n v="2023"/>
    <n v="12"/>
    <n v="8"/>
    <s v="December"/>
    <s v="Friday"/>
    <d v="2023-12-08T00:00:00"/>
    <s v="CUST392"/>
    <x v="0"/>
    <n v="27"/>
    <x v="1"/>
    <x v="1"/>
    <n v="2"/>
    <n v="300"/>
    <n v="600"/>
    <n v="9"/>
  </r>
  <r>
    <n v="393"/>
    <n v="2023"/>
    <n v="10"/>
    <n v="11"/>
    <s v="October"/>
    <s v="Wednesday"/>
    <d v="2023-10-11T00:00:00"/>
    <s v="CUST393"/>
    <x v="1"/>
    <n v="22"/>
    <x v="1"/>
    <x v="0"/>
    <n v="2"/>
    <n v="500"/>
    <n v="1000"/>
    <n v="15"/>
  </r>
  <r>
    <n v="394"/>
    <n v="2023"/>
    <n v="6"/>
    <n v="3"/>
    <s v="June"/>
    <s v="Saturday"/>
    <d v="2023-06-03T00:00:00"/>
    <s v="CUST394"/>
    <x v="1"/>
    <n v="27"/>
    <x v="1"/>
    <x v="1"/>
    <n v="1"/>
    <n v="500"/>
    <n v="500"/>
    <n v="7.5"/>
  </r>
  <r>
    <n v="395"/>
    <n v="2023"/>
    <n v="12"/>
    <n v="6"/>
    <s v="December"/>
    <s v="Wednesday"/>
    <d v="2023-12-06T00:00:00"/>
    <s v="CUST395"/>
    <x v="0"/>
    <n v="50"/>
    <x v="2"/>
    <x v="2"/>
    <n v="2"/>
    <n v="500"/>
    <n v="1000"/>
    <n v="15"/>
  </r>
  <r>
    <n v="396"/>
    <n v="2023"/>
    <n v="2"/>
    <n v="23"/>
    <s v="February"/>
    <s v="Thursday"/>
    <d v="2023-02-23T00:00:00"/>
    <s v="CUST396"/>
    <x v="1"/>
    <n v="55"/>
    <x v="2"/>
    <x v="0"/>
    <n v="1"/>
    <n v="30"/>
    <n v="30"/>
    <n v="0.44999999999999996"/>
  </r>
  <r>
    <n v="397"/>
    <n v="2023"/>
    <n v="3"/>
    <n v="10"/>
    <s v="March"/>
    <s v="Friday"/>
    <d v="2023-03-10T00:00:00"/>
    <s v="CUST397"/>
    <x v="1"/>
    <n v="30"/>
    <x v="0"/>
    <x v="0"/>
    <n v="1"/>
    <n v="25"/>
    <n v="25"/>
    <n v="0.375"/>
  </r>
  <r>
    <n v="398"/>
    <n v="2023"/>
    <n v="5"/>
    <n v="16"/>
    <s v="May"/>
    <s v="Tuesday"/>
    <d v="2023-05-16T00:00:00"/>
    <s v="CUST398"/>
    <x v="1"/>
    <n v="48"/>
    <x v="0"/>
    <x v="1"/>
    <n v="2"/>
    <n v="300"/>
    <n v="600"/>
    <n v="9"/>
  </r>
  <r>
    <n v="399"/>
    <n v="2023"/>
    <n v="3"/>
    <n v="1"/>
    <s v="March"/>
    <s v="Wednesday"/>
    <d v="2023-03-01T00:00:00"/>
    <s v="CUST399"/>
    <x v="1"/>
    <n v="64"/>
    <x v="2"/>
    <x v="0"/>
    <n v="2"/>
    <n v="30"/>
    <n v="60"/>
    <n v="0.89999999999999991"/>
  </r>
  <r>
    <n v="400"/>
    <n v="2023"/>
    <n v="2"/>
    <n v="24"/>
    <s v="February"/>
    <s v="Friday"/>
    <d v="2023-02-24T00:00:00"/>
    <s v="CUST400"/>
    <x v="0"/>
    <n v="53"/>
    <x v="2"/>
    <x v="1"/>
    <n v="4"/>
    <n v="50"/>
    <n v="200"/>
    <n v="3"/>
  </r>
  <r>
    <n v="401"/>
    <n v="2023"/>
    <n v="10"/>
    <n v="11"/>
    <s v="October"/>
    <s v="Wednesday"/>
    <d v="2023-10-11T00:00:00"/>
    <s v="CUST401"/>
    <x v="1"/>
    <n v="62"/>
    <x v="2"/>
    <x v="1"/>
    <n v="1"/>
    <n v="300"/>
    <n v="300"/>
    <n v="4.5"/>
  </r>
  <r>
    <n v="402"/>
    <n v="2023"/>
    <n v="3"/>
    <n v="21"/>
    <s v="March"/>
    <s v="Tuesday"/>
    <d v="2023-03-21T00:00:00"/>
    <s v="CUST402"/>
    <x v="1"/>
    <n v="41"/>
    <x v="0"/>
    <x v="1"/>
    <n v="2"/>
    <n v="300"/>
    <n v="600"/>
    <n v="9"/>
  </r>
  <r>
    <n v="403"/>
    <n v="2023"/>
    <n v="5"/>
    <n v="20"/>
    <s v="May"/>
    <s v="Saturday"/>
    <d v="2023-05-20T00:00:00"/>
    <s v="CUST403"/>
    <x v="0"/>
    <n v="32"/>
    <x v="0"/>
    <x v="1"/>
    <n v="2"/>
    <n v="300"/>
    <n v="600"/>
    <n v="9"/>
  </r>
  <r>
    <n v="404"/>
    <n v="2023"/>
    <n v="5"/>
    <n v="25"/>
    <s v="May"/>
    <s v="Thursday"/>
    <d v="2023-05-25T00:00:00"/>
    <s v="CUST404"/>
    <x v="0"/>
    <n v="46"/>
    <x v="0"/>
    <x v="2"/>
    <n v="2"/>
    <n v="500"/>
    <n v="1000"/>
    <n v="15"/>
  </r>
  <r>
    <n v="405"/>
    <n v="2023"/>
    <n v="11"/>
    <n v="6"/>
    <s v="November"/>
    <s v="Monday"/>
    <d v="2023-11-06T00:00:00"/>
    <s v="CUST405"/>
    <x v="1"/>
    <n v="25"/>
    <x v="1"/>
    <x v="1"/>
    <n v="4"/>
    <n v="300"/>
    <n v="1200"/>
    <n v="18"/>
  </r>
  <r>
    <n v="406"/>
    <n v="2023"/>
    <n v="4"/>
    <n v="18"/>
    <s v="April"/>
    <s v="Tuesday"/>
    <d v="2023-04-18T00:00:00"/>
    <s v="CUST406"/>
    <x v="1"/>
    <n v="22"/>
    <x v="1"/>
    <x v="0"/>
    <n v="4"/>
    <n v="25"/>
    <n v="100"/>
    <n v="1.5"/>
  </r>
  <r>
    <n v="407"/>
    <n v="2023"/>
    <n v="6"/>
    <n v="25"/>
    <s v="June"/>
    <s v="Sunday"/>
    <d v="2023-06-25T00:00:00"/>
    <s v="CUST407"/>
    <x v="1"/>
    <n v="46"/>
    <x v="0"/>
    <x v="2"/>
    <n v="3"/>
    <n v="300"/>
    <n v="900"/>
    <n v="13.5"/>
  </r>
  <r>
    <n v="408"/>
    <n v="2023"/>
    <n v="4"/>
    <n v="15"/>
    <s v="April"/>
    <s v="Saturday"/>
    <d v="2023-04-15T00:00:00"/>
    <s v="CUST408"/>
    <x v="1"/>
    <n v="64"/>
    <x v="2"/>
    <x v="0"/>
    <n v="1"/>
    <n v="500"/>
    <n v="500"/>
    <n v="7.5"/>
  </r>
  <r>
    <n v="409"/>
    <n v="2023"/>
    <n v="12"/>
    <n v="18"/>
    <s v="December"/>
    <s v="Monday"/>
    <d v="2023-12-18T00:00:00"/>
    <s v="CUST409"/>
    <x v="1"/>
    <n v="21"/>
    <x v="1"/>
    <x v="2"/>
    <n v="3"/>
    <n v="300"/>
    <n v="900"/>
    <n v="13.5"/>
  </r>
  <r>
    <n v="410"/>
    <n v="2023"/>
    <n v="11"/>
    <n v="21"/>
    <s v="November"/>
    <s v="Tuesday"/>
    <d v="2023-11-21T00:00:00"/>
    <s v="CUST410"/>
    <x v="1"/>
    <n v="29"/>
    <x v="1"/>
    <x v="1"/>
    <n v="2"/>
    <n v="50"/>
    <n v="100"/>
    <n v="1.5"/>
  </r>
  <r>
    <n v="411"/>
    <n v="2023"/>
    <n v="5"/>
    <n v="16"/>
    <s v="May"/>
    <s v="Tuesday"/>
    <d v="2023-05-16T00:00:00"/>
    <s v="CUST411"/>
    <x v="0"/>
    <n v="62"/>
    <x v="2"/>
    <x v="2"/>
    <n v="4"/>
    <n v="50"/>
    <n v="200"/>
    <n v="3"/>
  </r>
  <r>
    <n v="412"/>
    <n v="2023"/>
    <n v="9"/>
    <n v="16"/>
    <s v="September"/>
    <s v="Saturday"/>
    <d v="2023-09-16T00:00:00"/>
    <s v="CUST412"/>
    <x v="1"/>
    <n v="19"/>
    <x v="1"/>
    <x v="2"/>
    <n v="4"/>
    <n v="500"/>
    <n v="2000"/>
    <n v="30"/>
  </r>
  <r>
    <n v="413"/>
    <n v="2023"/>
    <n v="9"/>
    <n v="8"/>
    <s v="September"/>
    <s v="Friday"/>
    <d v="2023-09-08T00:00:00"/>
    <s v="CUST413"/>
    <x v="1"/>
    <n v="44"/>
    <x v="0"/>
    <x v="0"/>
    <n v="3"/>
    <n v="25"/>
    <n v="75"/>
    <n v="1.125"/>
  </r>
  <r>
    <n v="414"/>
    <n v="2023"/>
    <n v="5"/>
    <n v="9"/>
    <s v="May"/>
    <s v="Tuesday"/>
    <d v="2023-05-09T00:00:00"/>
    <s v="CUST414"/>
    <x v="0"/>
    <n v="48"/>
    <x v="0"/>
    <x v="0"/>
    <n v="4"/>
    <n v="25"/>
    <n v="100"/>
    <n v="1.5"/>
  </r>
  <r>
    <n v="415"/>
    <n v="2023"/>
    <n v="1"/>
    <n v="27"/>
    <s v="January"/>
    <s v="Friday"/>
    <d v="2023-01-27T00:00:00"/>
    <s v="CUST415"/>
    <x v="0"/>
    <n v="53"/>
    <x v="2"/>
    <x v="1"/>
    <n v="2"/>
    <n v="30"/>
    <n v="60"/>
    <n v="0.89999999999999991"/>
  </r>
  <r>
    <n v="416"/>
    <n v="2023"/>
    <n v="2"/>
    <n v="17"/>
    <s v="February"/>
    <s v="Friday"/>
    <d v="2023-02-17T00:00:00"/>
    <s v="CUST416"/>
    <x v="0"/>
    <n v="53"/>
    <x v="2"/>
    <x v="2"/>
    <n v="4"/>
    <n v="500"/>
    <n v="2000"/>
    <n v="30"/>
  </r>
  <r>
    <n v="417"/>
    <n v="2023"/>
    <n v="11"/>
    <n v="21"/>
    <s v="November"/>
    <s v="Tuesday"/>
    <d v="2023-11-21T00:00:00"/>
    <s v="CUST417"/>
    <x v="0"/>
    <n v="43"/>
    <x v="0"/>
    <x v="2"/>
    <n v="3"/>
    <n v="300"/>
    <n v="900"/>
    <n v="13.5"/>
  </r>
  <r>
    <n v="418"/>
    <n v="2023"/>
    <n v="8"/>
    <n v="5"/>
    <s v="August"/>
    <s v="Saturday"/>
    <d v="2023-08-05T00:00:00"/>
    <s v="CUST418"/>
    <x v="1"/>
    <n v="60"/>
    <x v="2"/>
    <x v="2"/>
    <n v="2"/>
    <n v="500"/>
    <n v="1000"/>
    <n v="15"/>
  </r>
  <r>
    <n v="419"/>
    <n v="2023"/>
    <n v="5"/>
    <n v="22"/>
    <s v="May"/>
    <s v="Monday"/>
    <d v="2023-05-22T00:00:00"/>
    <s v="CUST419"/>
    <x v="1"/>
    <n v="44"/>
    <x v="0"/>
    <x v="1"/>
    <n v="3"/>
    <n v="30"/>
    <n v="90"/>
    <n v="1.3499999999999999"/>
  </r>
  <r>
    <n v="420"/>
    <n v="2023"/>
    <n v="1"/>
    <n v="23"/>
    <s v="January"/>
    <s v="Monday"/>
    <d v="2023-01-23T00:00:00"/>
    <s v="CUST420"/>
    <x v="1"/>
    <n v="22"/>
    <x v="1"/>
    <x v="1"/>
    <n v="4"/>
    <n v="500"/>
    <n v="2000"/>
    <n v="30"/>
  </r>
  <r>
    <n v="421"/>
    <n v="2023"/>
    <n v="1"/>
    <n v="2"/>
    <s v="January"/>
    <s v="Monday"/>
    <d v="2023-01-02T00:00:00"/>
    <s v="CUST421"/>
    <x v="1"/>
    <n v="37"/>
    <x v="0"/>
    <x v="1"/>
    <n v="3"/>
    <n v="500"/>
    <n v="1500"/>
    <n v="22.5"/>
  </r>
  <r>
    <n v="422"/>
    <n v="2023"/>
    <n v="6"/>
    <n v="20"/>
    <s v="June"/>
    <s v="Tuesday"/>
    <d v="2023-06-20T00:00:00"/>
    <s v="CUST422"/>
    <x v="1"/>
    <n v="28"/>
    <x v="1"/>
    <x v="1"/>
    <n v="3"/>
    <n v="30"/>
    <n v="90"/>
    <n v="1.3499999999999999"/>
  </r>
  <r>
    <n v="423"/>
    <n v="2023"/>
    <n v="3"/>
    <n v="8"/>
    <s v="March"/>
    <s v="Wednesday"/>
    <d v="2023-03-08T00:00:00"/>
    <s v="CUST423"/>
    <x v="1"/>
    <n v="27"/>
    <x v="1"/>
    <x v="1"/>
    <n v="1"/>
    <n v="25"/>
    <n v="25"/>
    <n v="0.375"/>
  </r>
  <r>
    <n v="424"/>
    <n v="2023"/>
    <n v="11"/>
    <n v="23"/>
    <s v="November"/>
    <s v="Thursday"/>
    <d v="2023-11-23T00:00:00"/>
    <s v="CUST424"/>
    <x v="0"/>
    <n v="57"/>
    <x v="2"/>
    <x v="0"/>
    <n v="4"/>
    <n v="300"/>
    <n v="1200"/>
    <n v="18"/>
  </r>
  <r>
    <n v="425"/>
    <n v="2023"/>
    <n v="5"/>
    <n v="15"/>
    <s v="May"/>
    <s v="Monday"/>
    <d v="2023-05-15T00:00:00"/>
    <s v="CUST425"/>
    <x v="1"/>
    <n v="55"/>
    <x v="2"/>
    <x v="2"/>
    <n v="4"/>
    <n v="30"/>
    <n v="120"/>
    <n v="1.7999999999999998"/>
  </r>
  <r>
    <n v="426"/>
    <n v="2023"/>
    <n v="3"/>
    <n v="24"/>
    <s v="March"/>
    <s v="Friday"/>
    <d v="2023-03-24T00:00:00"/>
    <s v="CUST426"/>
    <x v="0"/>
    <n v="23"/>
    <x v="1"/>
    <x v="2"/>
    <n v="3"/>
    <n v="50"/>
    <n v="150"/>
    <n v="2.25"/>
  </r>
  <r>
    <n v="427"/>
    <n v="2023"/>
    <n v="8"/>
    <n v="15"/>
    <s v="August"/>
    <s v="Tuesday"/>
    <d v="2023-08-15T00:00:00"/>
    <s v="CUST427"/>
    <x v="0"/>
    <n v="25"/>
    <x v="1"/>
    <x v="2"/>
    <n v="1"/>
    <n v="25"/>
    <n v="25"/>
    <n v="0.375"/>
  </r>
  <r>
    <n v="428"/>
    <n v="2023"/>
    <n v="10"/>
    <n v="10"/>
    <s v="October"/>
    <s v="Tuesday"/>
    <d v="2023-10-10T00:00:00"/>
    <s v="CUST428"/>
    <x v="1"/>
    <n v="40"/>
    <x v="0"/>
    <x v="2"/>
    <n v="4"/>
    <n v="50"/>
    <n v="200"/>
    <n v="3"/>
  </r>
  <r>
    <n v="429"/>
    <n v="2023"/>
    <n v="12"/>
    <n v="28"/>
    <s v="December"/>
    <s v="Thursday"/>
    <d v="2023-12-28T00:00:00"/>
    <s v="CUST429"/>
    <x v="0"/>
    <n v="64"/>
    <x v="2"/>
    <x v="2"/>
    <n v="2"/>
    <n v="25"/>
    <n v="50"/>
    <n v="0.75"/>
  </r>
  <r>
    <n v="430"/>
    <n v="2023"/>
    <n v="8"/>
    <n v="7"/>
    <s v="August"/>
    <s v="Monday"/>
    <d v="2023-08-07T00:00:00"/>
    <s v="CUST430"/>
    <x v="1"/>
    <n v="43"/>
    <x v="0"/>
    <x v="2"/>
    <n v="3"/>
    <n v="300"/>
    <n v="900"/>
    <n v="13.5"/>
  </r>
  <r>
    <n v="431"/>
    <n v="2023"/>
    <n v="10"/>
    <n v="15"/>
    <s v="October"/>
    <s v="Sunday"/>
    <d v="2023-10-15T00:00:00"/>
    <s v="CUST431"/>
    <x v="0"/>
    <n v="63"/>
    <x v="2"/>
    <x v="2"/>
    <n v="4"/>
    <n v="300"/>
    <n v="1200"/>
    <n v="18"/>
  </r>
  <r>
    <n v="432"/>
    <n v="2023"/>
    <n v="1"/>
    <n v="5"/>
    <s v="January"/>
    <s v="Thursday"/>
    <d v="2023-01-05T00:00:00"/>
    <s v="CUST432"/>
    <x v="1"/>
    <n v="60"/>
    <x v="2"/>
    <x v="2"/>
    <n v="2"/>
    <n v="500"/>
    <n v="1000"/>
    <n v="15"/>
  </r>
  <r>
    <n v="433"/>
    <n v="2023"/>
    <n v="2"/>
    <n v="27"/>
    <s v="February"/>
    <s v="Monday"/>
    <d v="2023-02-27T00:00:00"/>
    <s v="CUST433"/>
    <x v="0"/>
    <n v="29"/>
    <x v="1"/>
    <x v="0"/>
    <n v="4"/>
    <n v="50"/>
    <n v="200"/>
    <n v="3"/>
  </r>
  <r>
    <n v="434"/>
    <n v="2023"/>
    <n v="2"/>
    <n v="8"/>
    <s v="February"/>
    <s v="Wednesday"/>
    <d v="2023-02-08T00:00:00"/>
    <s v="CUST434"/>
    <x v="1"/>
    <n v="43"/>
    <x v="0"/>
    <x v="2"/>
    <n v="2"/>
    <n v="25"/>
    <n v="50"/>
    <n v="0.75"/>
  </r>
  <r>
    <n v="435"/>
    <n v="2023"/>
    <n v="12"/>
    <n v="20"/>
    <s v="December"/>
    <s v="Wednesday"/>
    <d v="2023-12-20T00:00:00"/>
    <s v="CUST435"/>
    <x v="1"/>
    <n v="30"/>
    <x v="0"/>
    <x v="0"/>
    <n v="3"/>
    <n v="300"/>
    <n v="900"/>
    <n v="13.5"/>
  </r>
  <r>
    <n v="436"/>
    <n v="2023"/>
    <n v="3"/>
    <n v="18"/>
    <s v="March"/>
    <s v="Saturday"/>
    <d v="2023-03-18T00:00:00"/>
    <s v="CUST436"/>
    <x v="1"/>
    <n v="57"/>
    <x v="2"/>
    <x v="1"/>
    <n v="4"/>
    <n v="30"/>
    <n v="120"/>
    <n v="1.7999999999999998"/>
  </r>
  <r>
    <n v="437"/>
    <n v="2023"/>
    <n v="10"/>
    <n v="7"/>
    <s v="October"/>
    <s v="Saturday"/>
    <d v="2023-10-07T00:00:00"/>
    <s v="CUST437"/>
    <x v="1"/>
    <n v="35"/>
    <x v="0"/>
    <x v="2"/>
    <n v="4"/>
    <n v="300"/>
    <n v="1200"/>
    <n v="18"/>
  </r>
  <r>
    <n v="438"/>
    <n v="2023"/>
    <n v="1"/>
    <n v="19"/>
    <s v="January"/>
    <s v="Thursday"/>
    <d v="2023-01-19T00:00:00"/>
    <s v="CUST438"/>
    <x v="1"/>
    <n v="42"/>
    <x v="0"/>
    <x v="1"/>
    <n v="1"/>
    <n v="30"/>
    <n v="30"/>
    <n v="0.44999999999999996"/>
  </r>
  <r>
    <n v="439"/>
    <n v="2023"/>
    <n v="7"/>
    <n v="9"/>
    <s v="July"/>
    <s v="Sunday"/>
    <d v="2023-07-09T00:00:00"/>
    <s v="CUST439"/>
    <x v="0"/>
    <n v="50"/>
    <x v="2"/>
    <x v="1"/>
    <n v="3"/>
    <n v="25"/>
    <n v="75"/>
    <n v="1.125"/>
  </r>
  <r>
    <n v="440"/>
    <n v="2023"/>
    <n v="10"/>
    <n v="26"/>
    <s v="October"/>
    <s v="Thursday"/>
    <d v="2023-10-26T00:00:00"/>
    <s v="CUST440"/>
    <x v="0"/>
    <n v="64"/>
    <x v="2"/>
    <x v="1"/>
    <n v="2"/>
    <n v="300"/>
    <n v="600"/>
    <n v="9"/>
  </r>
  <r>
    <n v="441"/>
    <n v="2023"/>
    <n v="10"/>
    <n v="10"/>
    <s v="October"/>
    <s v="Tuesday"/>
    <d v="2023-10-10T00:00:00"/>
    <s v="CUST441"/>
    <x v="0"/>
    <n v="57"/>
    <x v="2"/>
    <x v="0"/>
    <n v="4"/>
    <n v="300"/>
    <n v="1200"/>
    <n v="18"/>
  </r>
  <r>
    <n v="442"/>
    <n v="2023"/>
    <n v="3"/>
    <n v="17"/>
    <s v="March"/>
    <s v="Friday"/>
    <d v="2023-03-17T00:00:00"/>
    <s v="CUST442"/>
    <x v="1"/>
    <n v="60"/>
    <x v="2"/>
    <x v="1"/>
    <n v="4"/>
    <n v="25"/>
    <n v="100"/>
    <n v="1.5"/>
  </r>
  <r>
    <n v="443"/>
    <n v="2023"/>
    <n v="8"/>
    <n v="9"/>
    <s v="August"/>
    <s v="Wednesday"/>
    <d v="2023-08-09T00:00:00"/>
    <s v="CUST443"/>
    <x v="0"/>
    <n v="29"/>
    <x v="1"/>
    <x v="1"/>
    <n v="2"/>
    <n v="300"/>
    <n v="600"/>
    <n v="9"/>
  </r>
  <r>
    <n v="444"/>
    <n v="2023"/>
    <n v="3"/>
    <n v="7"/>
    <s v="March"/>
    <s v="Tuesday"/>
    <d v="2023-03-07T00:00:00"/>
    <s v="CUST444"/>
    <x v="1"/>
    <n v="61"/>
    <x v="2"/>
    <x v="1"/>
    <n v="3"/>
    <n v="30"/>
    <n v="90"/>
    <n v="1.3499999999999999"/>
  </r>
  <r>
    <n v="445"/>
    <n v="2023"/>
    <n v="1"/>
    <n v="22"/>
    <s v="January"/>
    <s v="Sunday"/>
    <d v="2023-01-22T00:00:00"/>
    <s v="CUST445"/>
    <x v="1"/>
    <n v="53"/>
    <x v="2"/>
    <x v="2"/>
    <n v="1"/>
    <n v="300"/>
    <n v="300"/>
    <n v="4.5"/>
  </r>
  <r>
    <n v="446"/>
    <n v="2023"/>
    <n v="6"/>
    <n v="7"/>
    <s v="June"/>
    <s v="Wednesday"/>
    <d v="2023-06-07T00:00:00"/>
    <s v="CUST446"/>
    <x v="0"/>
    <n v="21"/>
    <x v="1"/>
    <x v="2"/>
    <n v="1"/>
    <n v="50"/>
    <n v="50"/>
    <n v="0.75"/>
  </r>
  <r>
    <n v="447"/>
    <n v="2023"/>
    <n v="7"/>
    <n v="6"/>
    <s v="July"/>
    <s v="Thursday"/>
    <d v="2023-07-06T00:00:00"/>
    <s v="CUST447"/>
    <x v="0"/>
    <n v="22"/>
    <x v="1"/>
    <x v="0"/>
    <n v="4"/>
    <n v="500"/>
    <n v="2000"/>
    <n v="30"/>
  </r>
  <r>
    <n v="448"/>
    <n v="2023"/>
    <n v="1"/>
    <n v="21"/>
    <s v="January"/>
    <s v="Saturday"/>
    <d v="2023-01-21T00:00:00"/>
    <s v="CUST448"/>
    <x v="1"/>
    <n v="54"/>
    <x v="2"/>
    <x v="0"/>
    <n v="2"/>
    <n v="30"/>
    <n v="60"/>
    <n v="0.89999999999999991"/>
  </r>
  <r>
    <n v="449"/>
    <n v="2023"/>
    <n v="7"/>
    <n v="3"/>
    <s v="July"/>
    <s v="Monday"/>
    <d v="2023-07-03T00:00:00"/>
    <s v="CUST449"/>
    <x v="0"/>
    <n v="25"/>
    <x v="1"/>
    <x v="2"/>
    <n v="4"/>
    <n v="50"/>
    <n v="200"/>
    <n v="3"/>
  </r>
  <r>
    <n v="450"/>
    <n v="2023"/>
    <n v="4"/>
    <n v="18"/>
    <s v="April"/>
    <s v="Tuesday"/>
    <d v="2023-04-18T00:00:00"/>
    <s v="CUST450"/>
    <x v="1"/>
    <n v="59"/>
    <x v="2"/>
    <x v="0"/>
    <n v="2"/>
    <n v="25"/>
    <n v="50"/>
    <n v="0.75"/>
  </r>
  <r>
    <n v="451"/>
    <n v="2023"/>
    <n v="12"/>
    <n v="16"/>
    <s v="December"/>
    <s v="Saturday"/>
    <d v="2023-12-16T00:00:00"/>
    <s v="CUST451"/>
    <x v="1"/>
    <n v="45"/>
    <x v="0"/>
    <x v="2"/>
    <n v="1"/>
    <n v="30"/>
    <n v="30"/>
    <n v="0.44999999999999996"/>
  </r>
  <r>
    <n v="452"/>
    <n v="2023"/>
    <n v="5"/>
    <n v="8"/>
    <s v="May"/>
    <s v="Monday"/>
    <d v="2023-05-08T00:00:00"/>
    <s v="CUST452"/>
    <x v="1"/>
    <n v="48"/>
    <x v="0"/>
    <x v="1"/>
    <n v="3"/>
    <n v="500"/>
    <n v="1500"/>
    <n v="22.5"/>
  </r>
  <r>
    <n v="453"/>
    <n v="2023"/>
    <n v="12"/>
    <n v="8"/>
    <s v="December"/>
    <s v="Friday"/>
    <d v="2023-12-08T00:00:00"/>
    <s v="CUST453"/>
    <x v="1"/>
    <n v="26"/>
    <x v="1"/>
    <x v="1"/>
    <n v="2"/>
    <n v="500"/>
    <n v="1000"/>
    <n v="15"/>
  </r>
  <r>
    <n v="454"/>
    <n v="2023"/>
    <n v="2"/>
    <n v="22"/>
    <s v="February"/>
    <s v="Wednesday"/>
    <d v="2023-02-22T00:00:00"/>
    <s v="CUST454"/>
    <x v="1"/>
    <n v="46"/>
    <x v="0"/>
    <x v="0"/>
    <n v="1"/>
    <n v="25"/>
    <n v="25"/>
    <n v="0.375"/>
  </r>
  <r>
    <n v="455"/>
    <n v="2023"/>
    <n v="7"/>
    <n v="1"/>
    <s v="July"/>
    <s v="Saturday"/>
    <d v="2023-07-01T00:00:00"/>
    <s v="CUST455"/>
    <x v="0"/>
    <n v="31"/>
    <x v="0"/>
    <x v="2"/>
    <n v="4"/>
    <n v="25"/>
    <n v="100"/>
    <n v="1.5"/>
  </r>
  <r>
    <n v="456"/>
    <n v="2023"/>
    <n v="10"/>
    <n v="14"/>
    <s v="October"/>
    <s v="Saturday"/>
    <d v="2023-10-14T00:00:00"/>
    <s v="CUST456"/>
    <x v="0"/>
    <n v="57"/>
    <x v="2"/>
    <x v="2"/>
    <n v="2"/>
    <n v="30"/>
    <n v="60"/>
    <n v="0.89999999999999991"/>
  </r>
  <r>
    <n v="457"/>
    <n v="2023"/>
    <n v="7"/>
    <n v="28"/>
    <s v="July"/>
    <s v="Friday"/>
    <d v="2023-07-28T00:00:00"/>
    <s v="CUST457"/>
    <x v="1"/>
    <n v="58"/>
    <x v="2"/>
    <x v="0"/>
    <n v="3"/>
    <n v="300"/>
    <n v="900"/>
    <n v="13.5"/>
  </r>
  <r>
    <n v="458"/>
    <n v="2023"/>
    <n v="11"/>
    <n v="14"/>
    <s v="November"/>
    <s v="Tuesday"/>
    <d v="2023-11-14T00:00:00"/>
    <s v="CUST458"/>
    <x v="1"/>
    <n v="39"/>
    <x v="0"/>
    <x v="2"/>
    <n v="4"/>
    <n v="25"/>
    <n v="100"/>
    <n v="1.5"/>
  </r>
  <r>
    <n v="459"/>
    <n v="2023"/>
    <n v="3"/>
    <n v="21"/>
    <s v="March"/>
    <s v="Tuesday"/>
    <d v="2023-03-21T00:00:00"/>
    <s v="CUST459"/>
    <x v="0"/>
    <n v="28"/>
    <x v="1"/>
    <x v="1"/>
    <n v="4"/>
    <n v="300"/>
    <n v="1200"/>
    <n v="18"/>
  </r>
  <r>
    <n v="460"/>
    <n v="2023"/>
    <n v="5"/>
    <n v="2"/>
    <s v="May"/>
    <s v="Tuesday"/>
    <d v="2023-05-02T00:00:00"/>
    <s v="CUST460"/>
    <x v="0"/>
    <n v="40"/>
    <x v="0"/>
    <x v="0"/>
    <n v="1"/>
    <n v="50"/>
    <n v="50"/>
    <n v="0.75"/>
  </r>
  <r>
    <n v="461"/>
    <n v="2023"/>
    <n v="3"/>
    <n v="25"/>
    <s v="March"/>
    <s v="Saturday"/>
    <d v="2023-03-25T00:00:00"/>
    <s v="CUST461"/>
    <x v="1"/>
    <n v="18"/>
    <x v="1"/>
    <x v="0"/>
    <n v="2"/>
    <n v="500"/>
    <n v="1000"/>
    <n v="15"/>
  </r>
  <r>
    <n v="462"/>
    <n v="2023"/>
    <n v="4"/>
    <n v="1"/>
    <s v="April"/>
    <s v="Saturday"/>
    <d v="2023-04-01T00:00:00"/>
    <s v="CUST462"/>
    <x v="0"/>
    <n v="63"/>
    <x v="2"/>
    <x v="2"/>
    <n v="4"/>
    <n v="300"/>
    <n v="1200"/>
    <n v="18"/>
  </r>
  <r>
    <n v="463"/>
    <n v="2023"/>
    <n v="7"/>
    <n v="31"/>
    <s v="July"/>
    <s v="Monday"/>
    <d v="2023-07-31T00:00:00"/>
    <s v="CUST463"/>
    <x v="1"/>
    <n v="54"/>
    <x v="2"/>
    <x v="0"/>
    <n v="3"/>
    <n v="500"/>
    <n v="1500"/>
    <n v="22.5"/>
  </r>
  <r>
    <n v="464"/>
    <n v="2023"/>
    <n v="1"/>
    <n v="13"/>
    <s v="January"/>
    <s v="Friday"/>
    <d v="2023-01-13T00:00:00"/>
    <s v="CUST464"/>
    <x v="0"/>
    <n v="38"/>
    <x v="0"/>
    <x v="2"/>
    <n v="2"/>
    <n v="300"/>
    <n v="600"/>
    <n v="9"/>
  </r>
  <r>
    <n v="465"/>
    <n v="2023"/>
    <n v="4"/>
    <n v="2"/>
    <s v="April"/>
    <s v="Sunday"/>
    <d v="2023-04-02T00:00:00"/>
    <s v="CUST465"/>
    <x v="1"/>
    <n v="43"/>
    <x v="0"/>
    <x v="2"/>
    <n v="3"/>
    <n v="50"/>
    <n v="150"/>
    <n v="2.25"/>
  </r>
  <r>
    <n v="466"/>
    <n v="2023"/>
    <n v="6"/>
    <n v="20"/>
    <s v="June"/>
    <s v="Tuesday"/>
    <d v="2023-06-20T00:00:00"/>
    <s v="CUST466"/>
    <x v="0"/>
    <n v="63"/>
    <x v="2"/>
    <x v="2"/>
    <n v="4"/>
    <n v="25"/>
    <n v="100"/>
    <n v="1.5"/>
  </r>
  <r>
    <n v="467"/>
    <n v="2023"/>
    <n v="7"/>
    <n v="30"/>
    <s v="July"/>
    <s v="Sunday"/>
    <d v="2023-07-30T00:00:00"/>
    <s v="CUST467"/>
    <x v="1"/>
    <n v="53"/>
    <x v="2"/>
    <x v="2"/>
    <n v="3"/>
    <n v="50"/>
    <n v="150"/>
    <n v="2.25"/>
  </r>
  <r>
    <n v="468"/>
    <n v="2023"/>
    <n v="12"/>
    <n v="9"/>
    <s v="December"/>
    <s v="Saturday"/>
    <d v="2023-12-09T00:00:00"/>
    <s v="CUST468"/>
    <x v="0"/>
    <n v="40"/>
    <x v="0"/>
    <x v="2"/>
    <n v="1"/>
    <n v="25"/>
    <n v="25"/>
    <n v="0.375"/>
  </r>
  <r>
    <n v="469"/>
    <n v="2023"/>
    <n v="5"/>
    <n v="8"/>
    <s v="May"/>
    <s v="Monday"/>
    <d v="2023-05-08T00:00:00"/>
    <s v="CUST469"/>
    <x v="0"/>
    <n v="18"/>
    <x v="1"/>
    <x v="0"/>
    <n v="3"/>
    <n v="25"/>
    <n v="75"/>
    <n v="1.125"/>
  </r>
  <r>
    <n v="470"/>
    <n v="2023"/>
    <n v="5"/>
    <n v="17"/>
    <s v="May"/>
    <s v="Wednesday"/>
    <d v="2023-05-17T00:00:00"/>
    <s v="CUST470"/>
    <x v="1"/>
    <n v="57"/>
    <x v="2"/>
    <x v="1"/>
    <n v="2"/>
    <n v="500"/>
    <n v="1000"/>
    <n v="15"/>
  </r>
  <r>
    <n v="471"/>
    <n v="2023"/>
    <n v="3"/>
    <n v="23"/>
    <s v="March"/>
    <s v="Thursday"/>
    <d v="2023-03-23T00:00:00"/>
    <s v="CUST471"/>
    <x v="0"/>
    <n v="32"/>
    <x v="0"/>
    <x v="1"/>
    <n v="3"/>
    <n v="50"/>
    <n v="150"/>
    <n v="2.25"/>
  </r>
  <r>
    <n v="472"/>
    <n v="2023"/>
    <n v="12"/>
    <n v="26"/>
    <s v="December"/>
    <s v="Tuesday"/>
    <d v="2023-12-26T00:00:00"/>
    <s v="CUST472"/>
    <x v="1"/>
    <n v="38"/>
    <x v="0"/>
    <x v="0"/>
    <n v="3"/>
    <n v="300"/>
    <n v="900"/>
    <n v="13.5"/>
  </r>
  <r>
    <n v="473"/>
    <n v="2023"/>
    <n v="2"/>
    <n v="25"/>
    <s v="February"/>
    <s v="Saturday"/>
    <d v="2023-02-25T00:00:00"/>
    <s v="CUST473"/>
    <x v="0"/>
    <n v="64"/>
    <x v="2"/>
    <x v="0"/>
    <n v="1"/>
    <n v="50"/>
    <n v="50"/>
    <n v="0.75"/>
  </r>
  <r>
    <n v="474"/>
    <n v="2023"/>
    <n v="7"/>
    <n v="15"/>
    <s v="July"/>
    <s v="Saturday"/>
    <d v="2023-07-15T00:00:00"/>
    <s v="CUST474"/>
    <x v="1"/>
    <n v="26"/>
    <x v="1"/>
    <x v="1"/>
    <n v="3"/>
    <n v="500"/>
    <n v="1500"/>
    <n v="22.5"/>
  </r>
  <r>
    <n v="475"/>
    <n v="2023"/>
    <n v="1"/>
    <n v="20"/>
    <s v="January"/>
    <s v="Friday"/>
    <d v="2023-01-20T00:00:00"/>
    <s v="CUST475"/>
    <x v="0"/>
    <n v="26"/>
    <x v="1"/>
    <x v="1"/>
    <n v="3"/>
    <n v="25"/>
    <n v="75"/>
    <n v="1.125"/>
  </r>
  <r>
    <n v="476"/>
    <n v="2023"/>
    <n v="8"/>
    <n v="29"/>
    <s v="August"/>
    <s v="Tuesday"/>
    <d v="2023-08-29T00:00:00"/>
    <s v="CUST476"/>
    <x v="1"/>
    <n v="27"/>
    <x v="1"/>
    <x v="1"/>
    <n v="4"/>
    <n v="500"/>
    <n v="2000"/>
    <n v="30"/>
  </r>
  <r>
    <n v="477"/>
    <n v="2023"/>
    <n v="4"/>
    <n v="24"/>
    <s v="April"/>
    <s v="Monday"/>
    <d v="2023-04-24T00:00:00"/>
    <s v="CUST477"/>
    <x v="0"/>
    <n v="43"/>
    <x v="0"/>
    <x v="1"/>
    <n v="4"/>
    <n v="30"/>
    <n v="120"/>
    <n v="1.7999999999999998"/>
  </r>
  <r>
    <n v="478"/>
    <n v="2023"/>
    <n v="4"/>
    <n v="13"/>
    <s v="April"/>
    <s v="Thursday"/>
    <d v="2023-04-13T00:00:00"/>
    <s v="CUST478"/>
    <x v="1"/>
    <n v="58"/>
    <x v="2"/>
    <x v="1"/>
    <n v="2"/>
    <n v="30"/>
    <n v="60"/>
    <n v="0.89999999999999991"/>
  </r>
  <r>
    <n v="479"/>
    <n v="2023"/>
    <n v="8"/>
    <n v="24"/>
    <s v="August"/>
    <s v="Thursday"/>
    <d v="2023-08-24T00:00:00"/>
    <s v="CUST479"/>
    <x v="0"/>
    <n v="52"/>
    <x v="2"/>
    <x v="2"/>
    <n v="4"/>
    <n v="300"/>
    <n v="1200"/>
    <n v="18"/>
  </r>
  <r>
    <n v="480"/>
    <n v="2023"/>
    <n v="6"/>
    <n v="29"/>
    <s v="June"/>
    <s v="Thursday"/>
    <d v="2023-06-29T00:00:00"/>
    <s v="CUST480"/>
    <x v="1"/>
    <n v="42"/>
    <x v="0"/>
    <x v="0"/>
    <n v="4"/>
    <n v="500"/>
    <n v="2000"/>
    <n v="30"/>
  </r>
  <r>
    <n v="481"/>
    <n v="2023"/>
    <n v="6"/>
    <n v="6"/>
    <s v="June"/>
    <s v="Tuesday"/>
    <d v="2023-06-06T00:00:00"/>
    <s v="CUST481"/>
    <x v="1"/>
    <n v="43"/>
    <x v="0"/>
    <x v="2"/>
    <n v="4"/>
    <n v="300"/>
    <n v="1200"/>
    <n v="18"/>
  </r>
  <r>
    <n v="482"/>
    <n v="2023"/>
    <n v="4"/>
    <n v="27"/>
    <s v="April"/>
    <s v="Thursday"/>
    <d v="2023-04-27T00:00:00"/>
    <s v="CUST482"/>
    <x v="1"/>
    <n v="28"/>
    <x v="1"/>
    <x v="1"/>
    <n v="4"/>
    <n v="300"/>
    <n v="1200"/>
    <n v="18"/>
  </r>
  <r>
    <n v="483"/>
    <n v="2023"/>
    <n v="4"/>
    <n v="25"/>
    <s v="April"/>
    <s v="Tuesday"/>
    <d v="2023-04-25T00:00:00"/>
    <s v="CUST483"/>
    <x v="0"/>
    <n v="55"/>
    <x v="2"/>
    <x v="1"/>
    <n v="1"/>
    <n v="30"/>
    <n v="30"/>
    <n v="0.44999999999999996"/>
  </r>
  <r>
    <n v="484"/>
    <n v="2023"/>
    <n v="1"/>
    <n v="13"/>
    <s v="January"/>
    <s v="Friday"/>
    <d v="2023-01-13T00:00:00"/>
    <s v="CUST484"/>
    <x v="1"/>
    <n v="19"/>
    <x v="1"/>
    <x v="1"/>
    <n v="4"/>
    <n v="300"/>
    <n v="1200"/>
    <n v="18"/>
  </r>
  <r>
    <n v="485"/>
    <n v="2023"/>
    <n v="12"/>
    <n v="4"/>
    <s v="December"/>
    <s v="Monday"/>
    <d v="2023-12-04T00:00:00"/>
    <s v="CUST485"/>
    <x v="0"/>
    <n v="24"/>
    <x v="1"/>
    <x v="2"/>
    <n v="1"/>
    <n v="30"/>
    <n v="30"/>
    <n v="0.44999999999999996"/>
  </r>
  <r>
    <n v="486"/>
    <n v="2023"/>
    <n v="4"/>
    <n v="9"/>
    <s v="April"/>
    <s v="Sunday"/>
    <d v="2023-04-09T00:00:00"/>
    <s v="CUST486"/>
    <x v="1"/>
    <n v="35"/>
    <x v="0"/>
    <x v="2"/>
    <n v="1"/>
    <n v="25"/>
    <n v="25"/>
    <n v="0.375"/>
  </r>
  <r>
    <n v="487"/>
    <n v="2023"/>
    <n v="7"/>
    <n v="24"/>
    <s v="July"/>
    <s v="Monday"/>
    <d v="2023-07-24T00:00:00"/>
    <s v="CUST487"/>
    <x v="0"/>
    <n v="44"/>
    <x v="0"/>
    <x v="1"/>
    <n v="4"/>
    <n v="500"/>
    <n v="2000"/>
    <n v="30"/>
  </r>
  <r>
    <n v="488"/>
    <n v="2023"/>
    <n v="6"/>
    <n v="18"/>
    <s v="June"/>
    <s v="Sunday"/>
    <d v="2023-06-18T00:00:00"/>
    <s v="CUST488"/>
    <x v="1"/>
    <n v="51"/>
    <x v="2"/>
    <x v="2"/>
    <n v="3"/>
    <n v="300"/>
    <n v="900"/>
    <n v="13.5"/>
  </r>
  <r>
    <n v="489"/>
    <n v="2023"/>
    <n v="5"/>
    <n v="23"/>
    <s v="May"/>
    <s v="Tuesday"/>
    <d v="2023-05-23T00:00:00"/>
    <s v="CUST489"/>
    <x v="0"/>
    <n v="44"/>
    <x v="0"/>
    <x v="2"/>
    <n v="1"/>
    <n v="30"/>
    <n v="30"/>
    <n v="0.44999999999999996"/>
  </r>
  <r>
    <n v="490"/>
    <n v="2023"/>
    <n v="2"/>
    <n v="5"/>
    <s v="February"/>
    <s v="Sunday"/>
    <d v="2023-02-05T00:00:00"/>
    <s v="CUST490"/>
    <x v="0"/>
    <n v="34"/>
    <x v="0"/>
    <x v="1"/>
    <n v="3"/>
    <n v="50"/>
    <n v="150"/>
    <n v="2.25"/>
  </r>
  <r>
    <n v="491"/>
    <n v="2023"/>
    <n v="5"/>
    <n v="23"/>
    <s v="May"/>
    <s v="Tuesday"/>
    <d v="2023-05-23T00:00:00"/>
    <s v="CUST491"/>
    <x v="1"/>
    <n v="60"/>
    <x v="2"/>
    <x v="2"/>
    <n v="3"/>
    <n v="300"/>
    <n v="900"/>
    <n v="13.5"/>
  </r>
  <r>
    <n v="492"/>
    <n v="2023"/>
    <n v="6"/>
    <n v="29"/>
    <s v="June"/>
    <s v="Thursday"/>
    <d v="2023-06-29T00:00:00"/>
    <s v="CUST492"/>
    <x v="0"/>
    <n v="61"/>
    <x v="2"/>
    <x v="0"/>
    <n v="4"/>
    <n v="25"/>
    <n v="100"/>
    <n v="1.5"/>
  </r>
  <r>
    <n v="493"/>
    <n v="2023"/>
    <n v="11"/>
    <n v="25"/>
    <s v="November"/>
    <s v="Saturday"/>
    <d v="2023-11-25T00:00:00"/>
    <s v="CUST493"/>
    <x v="0"/>
    <n v="41"/>
    <x v="0"/>
    <x v="0"/>
    <n v="2"/>
    <n v="25"/>
    <n v="50"/>
    <n v="0.75"/>
  </r>
  <r>
    <n v="494"/>
    <n v="2023"/>
    <n v="9"/>
    <n v="18"/>
    <s v="September"/>
    <s v="Monday"/>
    <d v="2023-09-18T00:00:00"/>
    <s v="CUST494"/>
    <x v="1"/>
    <n v="42"/>
    <x v="0"/>
    <x v="0"/>
    <n v="4"/>
    <n v="50"/>
    <n v="200"/>
    <n v="3"/>
  </r>
  <r>
    <n v="495"/>
    <n v="2023"/>
    <n v="7"/>
    <n v="24"/>
    <s v="July"/>
    <s v="Monday"/>
    <d v="2023-07-24T00:00:00"/>
    <s v="CUST495"/>
    <x v="0"/>
    <n v="24"/>
    <x v="1"/>
    <x v="0"/>
    <n v="2"/>
    <n v="30"/>
    <n v="60"/>
    <n v="0.89999999999999991"/>
  </r>
  <r>
    <n v="496"/>
    <n v="2023"/>
    <n v="12"/>
    <n v="14"/>
    <s v="December"/>
    <s v="Thursday"/>
    <d v="2023-12-14T00:00:00"/>
    <s v="CUST496"/>
    <x v="0"/>
    <n v="23"/>
    <x v="1"/>
    <x v="1"/>
    <n v="2"/>
    <n v="300"/>
    <n v="600"/>
    <n v="9"/>
  </r>
  <r>
    <n v="497"/>
    <n v="2023"/>
    <n v="10"/>
    <n v="2"/>
    <s v="October"/>
    <s v="Monday"/>
    <d v="2023-10-02T00:00:00"/>
    <s v="CUST497"/>
    <x v="0"/>
    <n v="41"/>
    <x v="0"/>
    <x v="1"/>
    <n v="4"/>
    <n v="30"/>
    <n v="120"/>
    <n v="1.7999999999999998"/>
  </r>
  <r>
    <n v="498"/>
    <n v="2023"/>
    <n v="6"/>
    <n v="19"/>
    <s v="June"/>
    <s v="Monday"/>
    <d v="2023-06-19T00:00:00"/>
    <s v="CUST498"/>
    <x v="1"/>
    <n v="50"/>
    <x v="2"/>
    <x v="1"/>
    <n v="4"/>
    <n v="25"/>
    <n v="100"/>
    <n v="1.5"/>
  </r>
  <r>
    <n v="499"/>
    <n v="2023"/>
    <n v="1"/>
    <n v="15"/>
    <s v="January"/>
    <s v="Sunday"/>
    <d v="2023-01-15T00:00:00"/>
    <s v="CUST499"/>
    <x v="0"/>
    <n v="46"/>
    <x v="0"/>
    <x v="0"/>
    <n v="2"/>
    <n v="30"/>
    <n v="60"/>
    <n v="0.89999999999999991"/>
  </r>
  <r>
    <n v="500"/>
    <n v="2023"/>
    <n v="3"/>
    <n v="1"/>
    <s v="March"/>
    <s v="Wednesday"/>
    <d v="2023-03-01T00:00:00"/>
    <s v="CUST500"/>
    <x v="1"/>
    <n v="60"/>
    <x v="2"/>
    <x v="0"/>
    <n v="4"/>
    <n v="25"/>
    <n v="100"/>
    <n v="1.5"/>
  </r>
  <r>
    <n v="501"/>
    <n v="2023"/>
    <n v="5"/>
    <n v="14"/>
    <s v="May"/>
    <s v="Sunday"/>
    <d v="2023-05-14T00:00:00"/>
    <s v="CUST501"/>
    <x v="0"/>
    <n v="39"/>
    <x v="0"/>
    <x v="2"/>
    <n v="2"/>
    <n v="30"/>
    <n v="60"/>
    <n v="0.89999999999999991"/>
  </r>
  <r>
    <n v="502"/>
    <n v="2023"/>
    <n v="4"/>
    <n v="2"/>
    <s v="April"/>
    <s v="Sunday"/>
    <d v="2023-04-02T00:00:00"/>
    <s v="CUST502"/>
    <x v="0"/>
    <n v="43"/>
    <x v="0"/>
    <x v="2"/>
    <n v="3"/>
    <n v="50"/>
    <n v="150"/>
    <n v="2.25"/>
  </r>
  <r>
    <n v="503"/>
    <n v="2023"/>
    <n v="10"/>
    <n v="25"/>
    <s v="October"/>
    <s v="Wednesday"/>
    <d v="2023-10-25T00:00:00"/>
    <s v="CUST503"/>
    <x v="0"/>
    <n v="45"/>
    <x v="0"/>
    <x v="0"/>
    <n v="4"/>
    <n v="500"/>
    <n v="2000"/>
    <n v="30"/>
  </r>
  <r>
    <n v="504"/>
    <n v="2023"/>
    <n v="5"/>
    <n v="16"/>
    <s v="May"/>
    <s v="Tuesday"/>
    <d v="2023-05-16T00:00:00"/>
    <s v="CUST504"/>
    <x v="1"/>
    <n v="38"/>
    <x v="0"/>
    <x v="0"/>
    <n v="3"/>
    <n v="50"/>
    <n v="150"/>
    <n v="2.25"/>
  </r>
  <r>
    <n v="505"/>
    <n v="2023"/>
    <n v="1"/>
    <n v="20"/>
    <s v="January"/>
    <s v="Friday"/>
    <d v="2023-01-20T00:00:00"/>
    <s v="CUST505"/>
    <x v="0"/>
    <n v="24"/>
    <x v="1"/>
    <x v="0"/>
    <n v="1"/>
    <n v="50"/>
    <n v="50"/>
    <n v="0.75"/>
  </r>
  <r>
    <n v="506"/>
    <n v="2023"/>
    <n v="2"/>
    <n v="25"/>
    <s v="February"/>
    <s v="Saturday"/>
    <d v="2023-02-25T00:00:00"/>
    <s v="CUST506"/>
    <x v="0"/>
    <n v="34"/>
    <x v="0"/>
    <x v="0"/>
    <n v="3"/>
    <n v="500"/>
    <n v="1500"/>
    <n v="22.5"/>
  </r>
  <r>
    <n v="507"/>
    <n v="2023"/>
    <n v="11"/>
    <n v="2"/>
    <s v="November"/>
    <s v="Thursday"/>
    <d v="2023-11-02T00:00:00"/>
    <s v="CUST507"/>
    <x v="1"/>
    <n v="37"/>
    <x v="0"/>
    <x v="2"/>
    <n v="3"/>
    <n v="500"/>
    <n v="1500"/>
    <n v="22.5"/>
  </r>
  <r>
    <n v="508"/>
    <n v="2023"/>
    <n v="8"/>
    <n v="11"/>
    <s v="August"/>
    <s v="Friday"/>
    <d v="2023-08-11T00:00:00"/>
    <s v="CUST508"/>
    <x v="0"/>
    <n v="58"/>
    <x v="2"/>
    <x v="0"/>
    <n v="2"/>
    <n v="300"/>
    <n v="600"/>
    <n v="9"/>
  </r>
  <r>
    <n v="509"/>
    <n v="2023"/>
    <n v="6"/>
    <n v="26"/>
    <s v="June"/>
    <s v="Monday"/>
    <d v="2023-06-26T00:00:00"/>
    <s v="CUST509"/>
    <x v="1"/>
    <n v="37"/>
    <x v="0"/>
    <x v="2"/>
    <n v="3"/>
    <n v="300"/>
    <n v="900"/>
    <n v="13.5"/>
  </r>
  <r>
    <n v="510"/>
    <n v="2023"/>
    <n v="6"/>
    <n v="10"/>
    <s v="June"/>
    <s v="Saturday"/>
    <d v="2023-06-10T00:00:00"/>
    <s v="CUST510"/>
    <x v="1"/>
    <n v="39"/>
    <x v="0"/>
    <x v="0"/>
    <n v="4"/>
    <n v="50"/>
    <n v="200"/>
    <n v="3"/>
  </r>
  <r>
    <n v="511"/>
    <n v="2023"/>
    <n v="8"/>
    <n v="12"/>
    <s v="August"/>
    <s v="Saturday"/>
    <d v="2023-08-12T00:00:00"/>
    <s v="CUST511"/>
    <x v="0"/>
    <n v="45"/>
    <x v="0"/>
    <x v="0"/>
    <n v="2"/>
    <n v="50"/>
    <n v="100"/>
    <n v="1.5"/>
  </r>
  <r>
    <n v="512"/>
    <n v="2023"/>
    <n v="11"/>
    <n v="7"/>
    <s v="November"/>
    <s v="Tuesday"/>
    <d v="2023-11-07T00:00:00"/>
    <s v="CUST512"/>
    <x v="1"/>
    <n v="57"/>
    <x v="2"/>
    <x v="0"/>
    <n v="1"/>
    <n v="25"/>
    <n v="25"/>
    <n v="0.375"/>
  </r>
  <r>
    <n v="513"/>
    <n v="2023"/>
    <n v="9"/>
    <n v="19"/>
    <s v="September"/>
    <s v="Tuesday"/>
    <d v="2023-09-19T00:00:00"/>
    <s v="CUST513"/>
    <x v="0"/>
    <n v="24"/>
    <x v="1"/>
    <x v="2"/>
    <n v="4"/>
    <n v="25"/>
    <n v="100"/>
    <n v="1.5"/>
  </r>
  <r>
    <n v="514"/>
    <n v="2023"/>
    <n v="3"/>
    <n v="1"/>
    <s v="March"/>
    <s v="Wednesday"/>
    <d v="2023-03-01T00:00:00"/>
    <s v="CUST514"/>
    <x v="1"/>
    <n v="18"/>
    <x v="1"/>
    <x v="2"/>
    <n v="1"/>
    <n v="300"/>
    <n v="300"/>
    <n v="4.5"/>
  </r>
  <r>
    <n v="515"/>
    <n v="2023"/>
    <n v="7"/>
    <n v="17"/>
    <s v="July"/>
    <s v="Monday"/>
    <d v="2023-07-17T00:00:00"/>
    <s v="CUST515"/>
    <x v="1"/>
    <n v="49"/>
    <x v="0"/>
    <x v="1"/>
    <n v="3"/>
    <n v="300"/>
    <n v="900"/>
    <n v="13.5"/>
  </r>
  <r>
    <n v="516"/>
    <n v="2023"/>
    <n v="10"/>
    <n v="23"/>
    <s v="October"/>
    <s v="Monday"/>
    <d v="2023-10-23T00:00:00"/>
    <s v="CUST516"/>
    <x v="0"/>
    <n v="30"/>
    <x v="0"/>
    <x v="0"/>
    <n v="4"/>
    <n v="25"/>
    <n v="100"/>
    <n v="1.5"/>
  </r>
  <r>
    <n v="517"/>
    <n v="2023"/>
    <n v="4"/>
    <n v="8"/>
    <s v="April"/>
    <s v="Saturday"/>
    <d v="2023-04-08T00:00:00"/>
    <s v="CUST517"/>
    <x v="1"/>
    <n v="47"/>
    <x v="0"/>
    <x v="1"/>
    <n v="4"/>
    <n v="25"/>
    <n v="100"/>
    <n v="1.5"/>
  </r>
  <r>
    <n v="518"/>
    <n v="2023"/>
    <n v="5"/>
    <n v="11"/>
    <s v="May"/>
    <s v="Thursday"/>
    <d v="2023-05-11T00:00:00"/>
    <s v="CUST518"/>
    <x v="1"/>
    <n v="40"/>
    <x v="0"/>
    <x v="1"/>
    <n v="1"/>
    <n v="30"/>
    <n v="30"/>
    <n v="0.44999999999999996"/>
  </r>
  <r>
    <n v="519"/>
    <n v="2023"/>
    <n v="1"/>
    <n v="23"/>
    <s v="January"/>
    <s v="Monday"/>
    <d v="2023-01-23T00:00:00"/>
    <s v="CUST519"/>
    <x v="1"/>
    <n v="36"/>
    <x v="0"/>
    <x v="2"/>
    <n v="4"/>
    <n v="30"/>
    <n v="120"/>
    <n v="1.7999999999999998"/>
  </r>
  <r>
    <n v="520"/>
    <n v="2023"/>
    <n v="12"/>
    <n v="29"/>
    <s v="December"/>
    <s v="Friday"/>
    <d v="2023-12-29T00:00:00"/>
    <s v="CUST520"/>
    <x v="1"/>
    <n v="49"/>
    <x v="0"/>
    <x v="2"/>
    <n v="4"/>
    <n v="25"/>
    <n v="100"/>
    <n v="1.5"/>
  </r>
  <r>
    <n v="521"/>
    <n v="2023"/>
    <n v="8"/>
    <n v="12"/>
    <s v="August"/>
    <s v="Saturday"/>
    <d v="2023-08-12T00:00:00"/>
    <s v="CUST521"/>
    <x v="1"/>
    <n v="47"/>
    <x v="0"/>
    <x v="1"/>
    <n v="4"/>
    <n v="30"/>
    <n v="120"/>
    <n v="1.7999999999999998"/>
  </r>
  <r>
    <n v="522"/>
    <n v="2023"/>
    <n v="1"/>
    <n v="1"/>
    <s v="January"/>
    <s v="Sunday"/>
    <d v="2023-01-01T00:00:00"/>
    <s v="CUST522"/>
    <x v="0"/>
    <n v="46"/>
    <x v="0"/>
    <x v="0"/>
    <n v="3"/>
    <n v="500"/>
    <n v="1500"/>
    <n v="22.5"/>
  </r>
  <r>
    <n v="523"/>
    <n v="2023"/>
    <n v="9"/>
    <n v="24"/>
    <s v="September"/>
    <s v="Sunday"/>
    <d v="2023-09-24T00:00:00"/>
    <s v="CUST523"/>
    <x v="1"/>
    <n v="62"/>
    <x v="2"/>
    <x v="2"/>
    <n v="1"/>
    <n v="300"/>
    <n v="300"/>
    <n v="4.5"/>
  </r>
  <r>
    <n v="524"/>
    <n v="2023"/>
    <n v="10"/>
    <n v="3"/>
    <s v="October"/>
    <s v="Tuesday"/>
    <d v="2023-10-03T00:00:00"/>
    <s v="CUST524"/>
    <x v="0"/>
    <n v="46"/>
    <x v="0"/>
    <x v="0"/>
    <n v="4"/>
    <n v="300"/>
    <n v="1200"/>
    <n v="18"/>
  </r>
  <r>
    <n v="525"/>
    <n v="2023"/>
    <n v="12"/>
    <n v="18"/>
    <s v="December"/>
    <s v="Monday"/>
    <d v="2023-12-18T00:00:00"/>
    <s v="CUST525"/>
    <x v="1"/>
    <n v="47"/>
    <x v="0"/>
    <x v="0"/>
    <n v="2"/>
    <n v="25"/>
    <n v="50"/>
    <n v="0.75"/>
  </r>
  <r>
    <n v="526"/>
    <n v="2023"/>
    <n v="12"/>
    <n v="10"/>
    <s v="December"/>
    <s v="Sunday"/>
    <d v="2023-12-10T00:00:00"/>
    <s v="CUST526"/>
    <x v="0"/>
    <n v="33"/>
    <x v="0"/>
    <x v="1"/>
    <n v="2"/>
    <n v="50"/>
    <n v="100"/>
    <n v="1.5"/>
  </r>
  <r>
    <n v="527"/>
    <n v="2023"/>
    <n v="4"/>
    <n v="11"/>
    <s v="April"/>
    <s v="Tuesday"/>
    <d v="2023-04-11T00:00:00"/>
    <s v="CUST527"/>
    <x v="0"/>
    <n v="57"/>
    <x v="2"/>
    <x v="1"/>
    <n v="2"/>
    <n v="25"/>
    <n v="50"/>
    <n v="0.75"/>
  </r>
  <r>
    <n v="528"/>
    <n v="2023"/>
    <n v="7"/>
    <n v="6"/>
    <s v="July"/>
    <s v="Thursday"/>
    <d v="2023-07-06T00:00:00"/>
    <s v="CUST528"/>
    <x v="1"/>
    <n v="36"/>
    <x v="0"/>
    <x v="1"/>
    <n v="2"/>
    <n v="30"/>
    <n v="60"/>
    <n v="0.89999999999999991"/>
  </r>
  <r>
    <n v="529"/>
    <n v="2023"/>
    <n v="8"/>
    <n v="9"/>
    <s v="August"/>
    <s v="Wednesday"/>
    <d v="2023-08-09T00:00:00"/>
    <s v="CUST529"/>
    <x v="1"/>
    <n v="35"/>
    <x v="0"/>
    <x v="1"/>
    <n v="3"/>
    <n v="50"/>
    <n v="150"/>
    <n v="2.25"/>
  </r>
  <r>
    <n v="530"/>
    <n v="2023"/>
    <n v="2"/>
    <n v="5"/>
    <s v="February"/>
    <s v="Sunday"/>
    <d v="2023-02-05T00:00:00"/>
    <s v="CUST530"/>
    <x v="1"/>
    <n v="18"/>
    <x v="1"/>
    <x v="2"/>
    <n v="4"/>
    <n v="30"/>
    <n v="120"/>
    <n v="1.7999999999999998"/>
  </r>
  <r>
    <n v="531"/>
    <n v="2023"/>
    <n v="12"/>
    <n v="7"/>
    <s v="December"/>
    <s v="Thursday"/>
    <d v="2023-12-07T00:00:00"/>
    <s v="CUST531"/>
    <x v="0"/>
    <n v="31"/>
    <x v="0"/>
    <x v="2"/>
    <n v="1"/>
    <n v="500"/>
    <n v="500"/>
    <n v="7.5"/>
  </r>
  <r>
    <n v="532"/>
    <n v="2023"/>
    <n v="6"/>
    <n v="19"/>
    <s v="June"/>
    <s v="Monday"/>
    <d v="2023-06-19T00:00:00"/>
    <s v="CUST532"/>
    <x v="1"/>
    <n v="64"/>
    <x v="2"/>
    <x v="1"/>
    <n v="4"/>
    <n v="30"/>
    <n v="120"/>
    <n v="1.7999999999999998"/>
  </r>
  <r>
    <n v="533"/>
    <n v="2023"/>
    <n v="11"/>
    <n v="16"/>
    <s v="November"/>
    <s v="Thursday"/>
    <d v="2023-11-16T00:00:00"/>
    <s v="CUST533"/>
    <x v="0"/>
    <n v="19"/>
    <x v="1"/>
    <x v="2"/>
    <n v="3"/>
    <n v="500"/>
    <n v="1500"/>
    <n v="22.5"/>
  </r>
  <r>
    <n v="534"/>
    <n v="2023"/>
    <n v="6"/>
    <n v="10"/>
    <s v="June"/>
    <s v="Saturday"/>
    <d v="2023-06-10T00:00:00"/>
    <s v="CUST534"/>
    <x v="0"/>
    <n v="45"/>
    <x v="0"/>
    <x v="1"/>
    <n v="2"/>
    <n v="500"/>
    <n v="1000"/>
    <n v="15"/>
  </r>
  <r>
    <n v="535"/>
    <n v="2023"/>
    <n v="12"/>
    <n v="6"/>
    <s v="December"/>
    <s v="Wednesday"/>
    <d v="2023-12-06T00:00:00"/>
    <s v="CUST535"/>
    <x v="0"/>
    <n v="47"/>
    <x v="0"/>
    <x v="0"/>
    <n v="3"/>
    <n v="30"/>
    <n v="90"/>
    <n v="1.3499999999999999"/>
  </r>
  <r>
    <n v="536"/>
    <n v="2023"/>
    <n v="3"/>
    <n v="5"/>
    <s v="March"/>
    <s v="Sunday"/>
    <d v="2023-03-05T00:00:00"/>
    <s v="CUST536"/>
    <x v="1"/>
    <n v="55"/>
    <x v="2"/>
    <x v="0"/>
    <n v="4"/>
    <n v="30"/>
    <n v="120"/>
    <n v="1.7999999999999998"/>
  </r>
  <r>
    <n v="537"/>
    <n v="2023"/>
    <n v="6"/>
    <n v="3"/>
    <s v="June"/>
    <s v="Saturday"/>
    <d v="2023-06-03T00:00:00"/>
    <s v="CUST537"/>
    <x v="1"/>
    <n v="21"/>
    <x v="1"/>
    <x v="0"/>
    <n v="1"/>
    <n v="500"/>
    <n v="500"/>
    <n v="7.5"/>
  </r>
  <r>
    <n v="538"/>
    <n v="2023"/>
    <n v="9"/>
    <n v="17"/>
    <s v="September"/>
    <s v="Sunday"/>
    <d v="2023-09-17T00:00:00"/>
    <s v="CUST538"/>
    <x v="0"/>
    <n v="18"/>
    <x v="1"/>
    <x v="1"/>
    <n v="3"/>
    <n v="50"/>
    <n v="150"/>
    <n v="2.25"/>
  </r>
  <r>
    <n v="539"/>
    <n v="2023"/>
    <n v="6"/>
    <n v="8"/>
    <s v="June"/>
    <s v="Thursday"/>
    <d v="2023-06-08T00:00:00"/>
    <s v="CUST539"/>
    <x v="0"/>
    <n v="25"/>
    <x v="1"/>
    <x v="0"/>
    <n v="1"/>
    <n v="500"/>
    <n v="500"/>
    <n v="7.5"/>
  </r>
  <r>
    <n v="540"/>
    <n v="2023"/>
    <n v="12"/>
    <n v="8"/>
    <s v="December"/>
    <s v="Friday"/>
    <d v="2023-12-08T00:00:00"/>
    <s v="CUST540"/>
    <x v="1"/>
    <n v="46"/>
    <x v="0"/>
    <x v="2"/>
    <n v="3"/>
    <n v="300"/>
    <n v="900"/>
    <n v="13.5"/>
  </r>
  <r>
    <n v="541"/>
    <n v="2023"/>
    <n v="7"/>
    <n v="29"/>
    <s v="July"/>
    <s v="Saturday"/>
    <d v="2023-07-29T00:00:00"/>
    <s v="CUST541"/>
    <x v="0"/>
    <n v="56"/>
    <x v="2"/>
    <x v="0"/>
    <n v="1"/>
    <n v="500"/>
    <n v="500"/>
    <n v="7.5"/>
  </r>
  <r>
    <n v="542"/>
    <n v="2023"/>
    <n v="6"/>
    <n v="17"/>
    <s v="June"/>
    <s v="Saturday"/>
    <d v="2023-06-17T00:00:00"/>
    <s v="CUST542"/>
    <x v="1"/>
    <n v="20"/>
    <x v="1"/>
    <x v="0"/>
    <n v="1"/>
    <n v="50"/>
    <n v="50"/>
    <n v="0.75"/>
  </r>
  <r>
    <n v="543"/>
    <n v="2023"/>
    <n v="7"/>
    <n v="26"/>
    <s v="July"/>
    <s v="Wednesday"/>
    <d v="2023-07-26T00:00:00"/>
    <s v="CUST543"/>
    <x v="0"/>
    <n v="49"/>
    <x v="0"/>
    <x v="0"/>
    <n v="2"/>
    <n v="300"/>
    <n v="600"/>
    <n v="9"/>
  </r>
  <r>
    <n v="544"/>
    <n v="2023"/>
    <n v="12"/>
    <n v="23"/>
    <s v="December"/>
    <s v="Saturday"/>
    <d v="2023-12-23T00:00:00"/>
    <s v="CUST544"/>
    <x v="1"/>
    <n v="27"/>
    <x v="1"/>
    <x v="2"/>
    <n v="1"/>
    <n v="25"/>
    <n v="25"/>
    <n v="0.375"/>
  </r>
  <r>
    <n v="545"/>
    <n v="2023"/>
    <n v="6"/>
    <n v="1"/>
    <s v="June"/>
    <s v="Thursday"/>
    <d v="2023-06-01T00:00:00"/>
    <s v="CUST545"/>
    <x v="0"/>
    <n v="27"/>
    <x v="1"/>
    <x v="1"/>
    <n v="2"/>
    <n v="25"/>
    <n v="50"/>
    <n v="0.75"/>
  </r>
  <r>
    <n v="546"/>
    <n v="2023"/>
    <n v="10"/>
    <n v="11"/>
    <s v="October"/>
    <s v="Wednesday"/>
    <d v="2023-10-11T00:00:00"/>
    <s v="CUST546"/>
    <x v="1"/>
    <n v="36"/>
    <x v="0"/>
    <x v="2"/>
    <n v="4"/>
    <n v="50"/>
    <n v="200"/>
    <n v="3"/>
  </r>
  <r>
    <n v="547"/>
    <n v="2023"/>
    <n v="3"/>
    <n v="7"/>
    <s v="March"/>
    <s v="Tuesday"/>
    <d v="2023-03-07T00:00:00"/>
    <s v="CUST547"/>
    <x v="0"/>
    <n v="63"/>
    <x v="2"/>
    <x v="1"/>
    <n v="4"/>
    <n v="500"/>
    <n v="2000"/>
    <n v="30"/>
  </r>
  <r>
    <n v="548"/>
    <n v="2023"/>
    <n v="4"/>
    <n v="9"/>
    <s v="April"/>
    <s v="Sunday"/>
    <d v="2023-04-09T00:00:00"/>
    <s v="CUST548"/>
    <x v="1"/>
    <n v="51"/>
    <x v="2"/>
    <x v="1"/>
    <n v="2"/>
    <n v="30"/>
    <n v="60"/>
    <n v="0.89999999999999991"/>
  </r>
  <r>
    <n v="549"/>
    <n v="2023"/>
    <n v="8"/>
    <n v="4"/>
    <s v="August"/>
    <s v="Friday"/>
    <d v="2023-08-04T00:00:00"/>
    <s v="CUST549"/>
    <x v="1"/>
    <n v="50"/>
    <x v="2"/>
    <x v="0"/>
    <n v="2"/>
    <n v="50"/>
    <n v="100"/>
    <n v="1.5"/>
  </r>
  <r>
    <n v="550"/>
    <n v="2023"/>
    <n v="12"/>
    <n v="7"/>
    <s v="December"/>
    <s v="Thursday"/>
    <d v="2023-12-07T00:00:00"/>
    <s v="CUST550"/>
    <x v="0"/>
    <n v="40"/>
    <x v="0"/>
    <x v="1"/>
    <n v="3"/>
    <n v="300"/>
    <n v="900"/>
    <n v="13.5"/>
  </r>
  <r>
    <n v="551"/>
    <n v="2023"/>
    <n v="7"/>
    <n v="14"/>
    <s v="July"/>
    <s v="Friday"/>
    <d v="2023-07-14T00:00:00"/>
    <s v="CUST551"/>
    <x v="0"/>
    <n v="45"/>
    <x v="0"/>
    <x v="2"/>
    <n v="3"/>
    <n v="300"/>
    <n v="900"/>
    <n v="13.5"/>
  </r>
  <r>
    <n v="552"/>
    <n v="2023"/>
    <n v="12"/>
    <n v="13"/>
    <s v="December"/>
    <s v="Wednesday"/>
    <d v="2023-12-13T00:00:00"/>
    <s v="CUST552"/>
    <x v="1"/>
    <n v="49"/>
    <x v="0"/>
    <x v="2"/>
    <n v="3"/>
    <n v="25"/>
    <n v="75"/>
    <n v="1.125"/>
  </r>
  <r>
    <n v="553"/>
    <n v="2023"/>
    <n v="3"/>
    <n v="31"/>
    <s v="March"/>
    <s v="Friday"/>
    <d v="2023-03-31T00:00:00"/>
    <s v="CUST553"/>
    <x v="0"/>
    <n v="24"/>
    <x v="1"/>
    <x v="1"/>
    <n v="4"/>
    <n v="300"/>
    <n v="1200"/>
    <n v="18"/>
  </r>
  <r>
    <n v="554"/>
    <n v="2023"/>
    <n v="11"/>
    <n v="12"/>
    <s v="November"/>
    <s v="Sunday"/>
    <d v="2023-11-12T00:00:00"/>
    <s v="CUST554"/>
    <x v="1"/>
    <n v="46"/>
    <x v="0"/>
    <x v="0"/>
    <n v="3"/>
    <n v="50"/>
    <n v="150"/>
    <n v="2.25"/>
  </r>
  <r>
    <n v="555"/>
    <n v="2023"/>
    <n v="10"/>
    <n v="19"/>
    <s v="October"/>
    <s v="Thursday"/>
    <d v="2023-10-19T00:00:00"/>
    <s v="CUST555"/>
    <x v="0"/>
    <n v="25"/>
    <x v="1"/>
    <x v="0"/>
    <n v="1"/>
    <n v="300"/>
    <n v="300"/>
    <n v="4.5"/>
  </r>
  <r>
    <n v="556"/>
    <n v="2023"/>
    <n v="6"/>
    <n v="4"/>
    <s v="June"/>
    <s v="Sunday"/>
    <d v="2023-06-04T00:00:00"/>
    <s v="CUST556"/>
    <x v="1"/>
    <n v="18"/>
    <x v="1"/>
    <x v="2"/>
    <n v="1"/>
    <n v="50"/>
    <n v="50"/>
    <n v="0.75"/>
  </r>
  <r>
    <n v="557"/>
    <n v="2023"/>
    <n v="7"/>
    <n v="27"/>
    <s v="July"/>
    <s v="Thursday"/>
    <d v="2023-07-27T00:00:00"/>
    <s v="CUST557"/>
    <x v="1"/>
    <n v="20"/>
    <x v="1"/>
    <x v="0"/>
    <n v="3"/>
    <n v="30"/>
    <n v="90"/>
    <n v="1.3499999999999999"/>
  </r>
  <r>
    <n v="558"/>
    <n v="2023"/>
    <n v="10"/>
    <n v="8"/>
    <s v="October"/>
    <s v="Sunday"/>
    <d v="2023-10-08T00:00:00"/>
    <s v="CUST558"/>
    <x v="1"/>
    <n v="41"/>
    <x v="0"/>
    <x v="1"/>
    <n v="1"/>
    <n v="25"/>
    <n v="25"/>
    <n v="0.375"/>
  </r>
  <r>
    <n v="559"/>
    <n v="2023"/>
    <n v="1"/>
    <n v="1"/>
    <s v="January"/>
    <s v="Sunday"/>
    <d v="2023-01-01T00:00:00"/>
    <s v="CUST559"/>
    <x v="1"/>
    <n v="40"/>
    <x v="0"/>
    <x v="1"/>
    <n v="4"/>
    <n v="300"/>
    <n v="1200"/>
    <n v="18"/>
  </r>
  <r>
    <n v="560"/>
    <n v="2023"/>
    <n v="6"/>
    <n v="5"/>
    <s v="June"/>
    <s v="Monday"/>
    <d v="2023-06-05T00:00:00"/>
    <s v="CUST560"/>
    <x v="1"/>
    <n v="25"/>
    <x v="1"/>
    <x v="2"/>
    <n v="1"/>
    <n v="50"/>
    <n v="50"/>
    <n v="0.75"/>
  </r>
  <r>
    <n v="561"/>
    <n v="2023"/>
    <n v="5"/>
    <n v="27"/>
    <s v="May"/>
    <s v="Saturday"/>
    <d v="2023-05-27T00:00:00"/>
    <s v="CUST561"/>
    <x v="1"/>
    <n v="64"/>
    <x v="2"/>
    <x v="1"/>
    <n v="4"/>
    <n v="500"/>
    <n v="2000"/>
    <n v="30"/>
  </r>
  <r>
    <n v="562"/>
    <n v="2023"/>
    <n v="4"/>
    <n v="18"/>
    <s v="April"/>
    <s v="Tuesday"/>
    <d v="2023-04-18T00:00:00"/>
    <s v="CUST562"/>
    <x v="0"/>
    <n v="54"/>
    <x v="2"/>
    <x v="2"/>
    <n v="2"/>
    <n v="25"/>
    <n v="50"/>
    <n v="0.75"/>
  </r>
  <r>
    <n v="563"/>
    <n v="2023"/>
    <n v="8"/>
    <n v="9"/>
    <s v="August"/>
    <s v="Wednesday"/>
    <d v="2023-08-09T00:00:00"/>
    <s v="CUST563"/>
    <x v="0"/>
    <n v="20"/>
    <x v="1"/>
    <x v="1"/>
    <n v="2"/>
    <n v="30"/>
    <n v="60"/>
    <n v="0.89999999999999991"/>
  </r>
  <r>
    <n v="564"/>
    <n v="2023"/>
    <n v="10"/>
    <n v="24"/>
    <s v="October"/>
    <s v="Tuesday"/>
    <d v="2023-10-24T00:00:00"/>
    <s v="CUST564"/>
    <x v="0"/>
    <n v="50"/>
    <x v="2"/>
    <x v="2"/>
    <n v="2"/>
    <n v="50"/>
    <n v="100"/>
    <n v="1.5"/>
  </r>
  <r>
    <n v="565"/>
    <n v="2023"/>
    <n v="11"/>
    <n v="7"/>
    <s v="November"/>
    <s v="Tuesday"/>
    <d v="2023-11-07T00:00:00"/>
    <s v="CUST565"/>
    <x v="1"/>
    <n v="45"/>
    <x v="0"/>
    <x v="0"/>
    <n v="2"/>
    <n v="30"/>
    <n v="60"/>
    <n v="0.89999999999999991"/>
  </r>
  <r>
    <n v="566"/>
    <n v="2023"/>
    <n v="12"/>
    <n v="2"/>
    <s v="December"/>
    <s v="Saturday"/>
    <d v="2023-12-02T00:00:00"/>
    <s v="CUST566"/>
    <x v="1"/>
    <n v="64"/>
    <x v="2"/>
    <x v="1"/>
    <n v="1"/>
    <n v="30"/>
    <n v="30"/>
    <n v="0.44999999999999996"/>
  </r>
  <r>
    <n v="567"/>
    <n v="2023"/>
    <n v="6"/>
    <n v="14"/>
    <s v="June"/>
    <s v="Wednesday"/>
    <d v="2023-06-14T00:00:00"/>
    <s v="CUST567"/>
    <x v="1"/>
    <n v="25"/>
    <x v="1"/>
    <x v="1"/>
    <n v="3"/>
    <n v="300"/>
    <n v="900"/>
    <n v="13.5"/>
  </r>
  <r>
    <n v="568"/>
    <n v="2023"/>
    <n v="8"/>
    <n v="27"/>
    <s v="August"/>
    <s v="Sunday"/>
    <d v="2023-08-27T00:00:00"/>
    <s v="CUST568"/>
    <x v="1"/>
    <n v="51"/>
    <x v="2"/>
    <x v="2"/>
    <n v="1"/>
    <n v="300"/>
    <n v="300"/>
    <n v="4.5"/>
  </r>
  <r>
    <n v="569"/>
    <n v="2023"/>
    <n v="8"/>
    <n v="15"/>
    <s v="August"/>
    <s v="Tuesday"/>
    <d v="2023-08-15T00:00:00"/>
    <s v="CUST569"/>
    <x v="0"/>
    <n v="52"/>
    <x v="2"/>
    <x v="2"/>
    <n v="4"/>
    <n v="50"/>
    <n v="200"/>
    <n v="3"/>
  </r>
  <r>
    <n v="570"/>
    <n v="2023"/>
    <n v="8"/>
    <n v="15"/>
    <s v="August"/>
    <s v="Tuesday"/>
    <d v="2023-08-15T00:00:00"/>
    <s v="CUST570"/>
    <x v="0"/>
    <n v="49"/>
    <x v="0"/>
    <x v="1"/>
    <n v="1"/>
    <n v="500"/>
    <n v="500"/>
    <n v="7.5"/>
  </r>
  <r>
    <n v="571"/>
    <n v="2023"/>
    <n v="12"/>
    <n v="12"/>
    <s v="December"/>
    <s v="Tuesday"/>
    <d v="2023-12-12T00:00:00"/>
    <s v="CUST571"/>
    <x v="1"/>
    <n v="41"/>
    <x v="0"/>
    <x v="2"/>
    <n v="1"/>
    <n v="50"/>
    <n v="50"/>
    <n v="0.75"/>
  </r>
  <r>
    <n v="572"/>
    <n v="2023"/>
    <n v="4"/>
    <n v="20"/>
    <s v="April"/>
    <s v="Thursday"/>
    <d v="2023-04-20T00:00:00"/>
    <s v="CUST572"/>
    <x v="0"/>
    <n v="31"/>
    <x v="0"/>
    <x v="1"/>
    <n v="4"/>
    <n v="500"/>
    <n v="2000"/>
    <n v="30"/>
  </r>
  <r>
    <n v="573"/>
    <n v="2023"/>
    <n v="9"/>
    <n v="19"/>
    <s v="September"/>
    <s v="Tuesday"/>
    <d v="2023-09-19T00:00:00"/>
    <s v="CUST573"/>
    <x v="0"/>
    <n v="49"/>
    <x v="0"/>
    <x v="0"/>
    <n v="2"/>
    <n v="30"/>
    <n v="60"/>
    <n v="0.89999999999999991"/>
  </r>
  <r>
    <n v="574"/>
    <n v="2023"/>
    <n v="8"/>
    <n v="31"/>
    <s v="August"/>
    <s v="Thursday"/>
    <d v="2023-08-31T00:00:00"/>
    <s v="CUST574"/>
    <x v="1"/>
    <n v="63"/>
    <x v="2"/>
    <x v="2"/>
    <n v="2"/>
    <n v="25"/>
    <n v="50"/>
    <n v="0.75"/>
  </r>
  <r>
    <n v="575"/>
    <n v="2023"/>
    <n v="3"/>
    <n v="28"/>
    <s v="March"/>
    <s v="Tuesday"/>
    <d v="2023-03-28T00:00:00"/>
    <s v="CUST575"/>
    <x v="0"/>
    <n v="60"/>
    <x v="2"/>
    <x v="1"/>
    <n v="2"/>
    <n v="50"/>
    <n v="100"/>
    <n v="1.5"/>
  </r>
  <r>
    <n v="576"/>
    <n v="2023"/>
    <n v="12"/>
    <n v="4"/>
    <s v="December"/>
    <s v="Monday"/>
    <d v="2023-12-04T00:00:00"/>
    <s v="CUST576"/>
    <x v="1"/>
    <n v="33"/>
    <x v="0"/>
    <x v="0"/>
    <n v="3"/>
    <n v="50"/>
    <n v="150"/>
    <n v="2.25"/>
  </r>
  <r>
    <n v="577"/>
    <n v="2023"/>
    <n v="2"/>
    <n v="13"/>
    <s v="February"/>
    <s v="Monday"/>
    <d v="2023-02-13T00:00:00"/>
    <s v="CUST577"/>
    <x v="0"/>
    <n v="21"/>
    <x v="1"/>
    <x v="0"/>
    <n v="4"/>
    <n v="500"/>
    <n v="2000"/>
    <n v="30"/>
  </r>
  <r>
    <n v="578"/>
    <n v="2023"/>
    <n v="5"/>
    <n v="26"/>
    <s v="May"/>
    <s v="Friday"/>
    <d v="2023-05-26T00:00:00"/>
    <s v="CUST578"/>
    <x v="1"/>
    <n v="54"/>
    <x v="2"/>
    <x v="1"/>
    <n v="4"/>
    <n v="30"/>
    <n v="120"/>
    <n v="1.7999999999999998"/>
  </r>
  <r>
    <n v="579"/>
    <n v="2023"/>
    <n v="9"/>
    <n v="21"/>
    <s v="September"/>
    <s v="Thursday"/>
    <d v="2023-09-21T00:00:00"/>
    <s v="CUST579"/>
    <x v="1"/>
    <n v="38"/>
    <x v="0"/>
    <x v="2"/>
    <n v="1"/>
    <n v="30"/>
    <n v="30"/>
    <n v="0.44999999999999996"/>
  </r>
  <r>
    <n v="580"/>
    <n v="2023"/>
    <n v="12"/>
    <n v="6"/>
    <s v="December"/>
    <s v="Wednesday"/>
    <d v="2023-12-06T00:00:00"/>
    <s v="CUST580"/>
    <x v="1"/>
    <n v="31"/>
    <x v="0"/>
    <x v="1"/>
    <n v="3"/>
    <n v="500"/>
    <n v="1500"/>
    <n v="22.5"/>
  </r>
  <r>
    <n v="581"/>
    <n v="2023"/>
    <n v="11"/>
    <n v="21"/>
    <s v="November"/>
    <s v="Tuesday"/>
    <d v="2023-11-21T00:00:00"/>
    <s v="CUST581"/>
    <x v="1"/>
    <n v="48"/>
    <x v="0"/>
    <x v="0"/>
    <n v="2"/>
    <n v="30"/>
    <n v="60"/>
    <n v="0.89999999999999991"/>
  </r>
  <r>
    <n v="582"/>
    <n v="2023"/>
    <n v="11"/>
    <n v="14"/>
    <s v="November"/>
    <s v="Tuesday"/>
    <d v="2023-11-14T00:00:00"/>
    <s v="CUST582"/>
    <x v="0"/>
    <n v="35"/>
    <x v="0"/>
    <x v="1"/>
    <n v="3"/>
    <n v="300"/>
    <n v="900"/>
    <n v="13.5"/>
  </r>
  <r>
    <n v="583"/>
    <n v="2023"/>
    <n v="6"/>
    <n v="21"/>
    <s v="June"/>
    <s v="Wednesday"/>
    <d v="2023-06-21T00:00:00"/>
    <s v="CUST583"/>
    <x v="1"/>
    <n v="24"/>
    <x v="1"/>
    <x v="2"/>
    <n v="4"/>
    <n v="25"/>
    <n v="100"/>
    <n v="1.5"/>
  </r>
  <r>
    <n v="584"/>
    <n v="2023"/>
    <n v="2"/>
    <n v="17"/>
    <s v="February"/>
    <s v="Friday"/>
    <d v="2023-02-17T00:00:00"/>
    <s v="CUST584"/>
    <x v="1"/>
    <n v="27"/>
    <x v="1"/>
    <x v="0"/>
    <n v="4"/>
    <n v="50"/>
    <n v="200"/>
    <n v="3"/>
  </r>
  <r>
    <n v="585"/>
    <n v="2023"/>
    <n v="5"/>
    <n v="1"/>
    <s v="May"/>
    <s v="Monday"/>
    <d v="2023-05-01T00:00:00"/>
    <s v="CUST585"/>
    <x v="1"/>
    <n v="24"/>
    <x v="1"/>
    <x v="1"/>
    <n v="1"/>
    <n v="25"/>
    <n v="25"/>
    <n v="0.375"/>
  </r>
  <r>
    <n v="586"/>
    <n v="2023"/>
    <n v="12"/>
    <n v="11"/>
    <s v="December"/>
    <s v="Monday"/>
    <d v="2023-12-11T00:00:00"/>
    <s v="CUST586"/>
    <x v="0"/>
    <n v="50"/>
    <x v="2"/>
    <x v="2"/>
    <n v="1"/>
    <n v="50"/>
    <n v="50"/>
    <n v="0.75"/>
  </r>
  <r>
    <n v="587"/>
    <n v="2023"/>
    <n v="6"/>
    <n v="8"/>
    <s v="June"/>
    <s v="Thursday"/>
    <d v="2023-06-08T00:00:00"/>
    <s v="CUST587"/>
    <x v="1"/>
    <n v="40"/>
    <x v="0"/>
    <x v="0"/>
    <n v="4"/>
    <n v="300"/>
    <n v="1200"/>
    <n v="18"/>
  </r>
  <r>
    <n v="588"/>
    <n v="2023"/>
    <n v="4"/>
    <n v="26"/>
    <s v="April"/>
    <s v="Wednesday"/>
    <d v="2023-04-26T00:00:00"/>
    <s v="CUST588"/>
    <x v="0"/>
    <n v="38"/>
    <x v="0"/>
    <x v="2"/>
    <n v="2"/>
    <n v="30"/>
    <n v="60"/>
    <n v="0.89999999999999991"/>
  </r>
  <r>
    <n v="589"/>
    <n v="2023"/>
    <n v="4"/>
    <n v="12"/>
    <s v="April"/>
    <s v="Wednesday"/>
    <d v="2023-04-12T00:00:00"/>
    <s v="CUST589"/>
    <x v="1"/>
    <n v="36"/>
    <x v="0"/>
    <x v="0"/>
    <n v="2"/>
    <n v="500"/>
    <n v="1000"/>
    <n v="15"/>
  </r>
  <r>
    <n v="590"/>
    <n v="2023"/>
    <n v="3"/>
    <n v="17"/>
    <s v="March"/>
    <s v="Friday"/>
    <d v="2023-03-17T00:00:00"/>
    <s v="CUST590"/>
    <x v="0"/>
    <n v="36"/>
    <x v="0"/>
    <x v="1"/>
    <n v="3"/>
    <n v="300"/>
    <n v="900"/>
    <n v="13.5"/>
  </r>
  <r>
    <n v="591"/>
    <n v="2023"/>
    <n v="1"/>
    <n v="13"/>
    <s v="January"/>
    <s v="Friday"/>
    <d v="2023-01-13T00:00:00"/>
    <s v="CUST591"/>
    <x v="0"/>
    <n v="53"/>
    <x v="2"/>
    <x v="2"/>
    <n v="4"/>
    <n v="25"/>
    <n v="100"/>
    <n v="1.5"/>
  </r>
  <r>
    <n v="592"/>
    <n v="2023"/>
    <n v="1"/>
    <n v="24"/>
    <s v="January"/>
    <s v="Tuesday"/>
    <d v="2023-01-24T00:00:00"/>
    <s v="CUST592"/>
    <x v="1"/>
    <n v="46"/>
    <x v="0"/>
    <x v="0"/>
    <n v="4"/>
    <n v="500"/>
    <n v="2000"/>
    <n v="30"/>
  </r>
  <r>
    <n v="593"/>
    <n v="2023"/>
    <n v="5"/>
    <n v="6"/>
    <s v="May"/>
    <s v="Saturday"/>
    <d v="2023-05-06T00:00:00"/>
    <s v="CUST593"/>
    <x v="0"/>
    <n v="35"/>
    <x v="0"/>
    <x v="2"/>
    <n v="2"/>
    <n v="30"/>
    <n v="60"/>
    <n v="0.89999999999999991"/>
  </r>
  <r>
    <n v="594"/>
    <n v="2023"/>
    <n v="9"/>
    <n v="1"/>
    <s v="September"/>
    <s v="Friday"/>
    <d v="2023-09-01T00:00:00"/>
    <s v="CUST594"/>
    <x v="1"/>
    <n v="19"/>
    <x v="1"/>
    <x v="2"/>
    <n v="2"/>
    <n v="300"/>
    <n v="600"/>
    <n v="9"/>
  </r>
  <r>
    <n v="595"/>
    <n v="2023"/>
    <n v="11"/>
    <n v="9"/>
    <s v="November"/>
    <s v="Thursday"/>
    <d v="2023-11-09T00:00:00"/>
    <s v="CUST595"/>
    <x v="1"/>
    <n v="18"/>
    <x v="1"/>
    <x v="1"/>
    <n v="4"/>
    <n v="500"/>
    <n v="2000"/>
    <n v="30"/>
  </r>
  <r>
    <n v="596"/>
    <n v="2023"/>
    <n v="2"/>
    <n v="7"/>
    <s v="February"/>
    <s v="Tuesday"/>
    <d v="2023-02-07T00:00:00"/>
    <s v="CUST596"/>
    <x v="1"/>
    <n v="64"/>
    <x v="2"/>
    <x v="2"/>
    <n v="1"/>
    <n v="300"/>
    <n v="300"/>
    <n v="4.5"/>
  </r>
  <r>
    <n v="597"/>
    <n v="2023"/>
    <n v="8"/>
    <n v="22"/>
    <s v="August"/>
    <s v="Tuesday"/>
    <d v="2023-08-22T00:00:00"/>
    <s v="CUST597"/>
    <x v="0"/>
    <n v="22"/>
    <x v="1"/>
    <x v="0"/>
    <n v="4"/>
    <n v="300"/>
    <n v="1200"/>
    <n v="18"/>
  </r>
  <r>
    <n v="598"/>
    <n v="2023"/>
    <n v="8"/>
    <n v="1"/>
    <s v="August"/>
    <s v="Tuesday"/>
    <d v="2023-08-01T00:00:00"/>
    <s v="CUST598"/>
    <x v="0"/>
    <n v="37"/>
    <x v="0"/>
    <x v="0"/>
    <n v="4"/>
    <n v="30"/>
    <n v="120"/>
    <n v="1.7999999999999998"/>
  </r>
  <r>
    <n v="599"/>
    <n v="2023"/>
    <n v="11"/>
    <n v="19"/>
    <s v="November"/>
    <s v="Sunday"/>
    <d v="2023-11-19T00:00:00"/>
    <s v="CUST599"/>
    <x v="1"/>
    <n v="28"/>
    <x v="1"/>
    <x v="0"/>
    <n v="2"/>
    <n v="50"/>
    <n v="100"/>
    <n v="1.5"/>
  </r>
  <r>
    <n v="600"/>
    <n v="2023"/>
    <n v="10"/>
    <n v="22"/>
    <s v="October"/>
    <s v="Sunday"/>
    <d v="2023-10-22T00:00:00"/>
    <s v="CUST600"/>
    <x v="1"/>
    <n v="59"/>
    <x v="2"/>
    <x v="0"/>
    <n v="2"/>
    <n v="500"/>
    <n v="1000"/>
    <n v="15"/>
  </r>
  <r>
    <n v="601"/>
    <n v="2023"/>
    <n v="4"/>
    <n v="10"/>
    <s v="April"/>
    <s v="Monday"/>
    <d v="2023-04-10T00:00:00"/>
    <s v="CUST601"/>
    <x v="0"/>
    <n v="19"/>
    <x v="1"/>
    <x v="1"/>
    <n v="1"/>
    <n v="30"/>
    <n v="30"/>
    <n v="0.44999999999999996"/>
  </r>
  <r>
    <n v="602"/>
    <n v="2023"/>
    <n v="12"/>
    <n v="23"/>
    <s v="December"/>
    <s v="Saturday"/>
    <d v="2023-12-23T00:00:00"/>
    <s v="CUST602"/>
    <x v="1"/>
    <n v="20"/>
    <x v="1"/>
    <x v="2"/>
    <n v="1"/>
    <n v="300"/>
    <n v="300"/>
    <n v="4.5"/>
  </r>
  <r>
    <n v="603"/>
    <n v="2023"/>
    <n v="7"/>
    <n v="16"/>
    <s v="July"/>
    <s v="Sunday"/>
    <d v="2023-07-16T00:00:00"/>
    <s v="CUST603"/>
    <x v="1"/>
    <n v="40"/>
    <x v="0"/>
    <x v="1"/>
    <n v="3"/>
    <n v="30"/>
    <n v="90"/>
    <n v="1.3499999999999999"/>
  </r>
  <r>
    <n v="604"/>
    <n v="2023"/>
    <n v="9"/>
    <n v="11"/>
    <s v="September"/>
    <s v="Monday"/>
    <d v="2023-09-11T00:00:00"/>
    <s v="CUST604"/>
    <x v="1"/>
    <n v="29"/>
    <x v="1"/>
    <x v="2"/>
    <n v="4"/>
    <n v="50"/>
    <n v="200"/>
    <n v="3"/>
  </r>
  <r>
    <n v="605"/>
    <n v="2023"/>
    <n v="7"/>
    <n v="24"/>
    <s v="July"/>
    <s v="Monday"/>
    <d v="2023-07-24T00:00:00"/>
    <s v="CUST605"/>
    <x v="0"/>
    <n v="37"/>
    <x v="0"/>
    <x v="2"/>
    <n v="2"/>
    <n v="500"/>
    <n v="1000"/>
    <n v="15"/>
  </r>
  <r>
    <n v="606"/>
    <n v="2023"/>
    <n v="5"/>
    <n v="5"/>
    <s v="May"/>
    <s v="Friday"/>
    <d v="2023-05-05T00:00:00"/>
    <s v="CUST606"/>
    <x v="0"/>
    <n v="22"/>
    <x v="1"/>
    <x v="2"/>
    <n v="1"/>
    <n v="50"/>
    <n v="50"/>
    <n v="0.75"/>
  </r>
  <r>
    <n v="607"/>
    <n v="2023"/>
    <n v="3"/>
    <n v="17"/>
    <s v="March"/>
    <s v="Friday"/>
    <d v="2023-03-17T00:00:00"/>
    <s v="CUST607"/>
    <x v="0"/>
    <n v="54"/>
    <x v="2"/>
    <x v="1"/>
    <n v="3"/>
    <n v="25"/>
    <n v="75"/>
    <n v="1.125"/>
  </r>
  <r>
    <n v="608"/>
    <n v="2023"/>
    <n v="12"/>
    <n v="2"/>
    <s v="December"/>
    <s v="Saturday"/>
    <d v="2023-12-02T00:00:00"/>
    <s v="CUST608"/>
    <x v="1"/>
    <n v="55"/>
    <x v="2"/>
    <x v="2"/>
    <n v="3"/>
    <n v="500"/>
    <n v="1500"/>
    <n v="22.5"/>
  </r>
  <r>
    <n v="609"/>
    <n v="2023"/>
    <n v="12"/>
    <n v="19"/>
    <s v="December"/>
    <s v="Tuesday"/>
    <d v="2023-12-19T00:00:00"/>
    <s v="CUST609"/>
    <x v="1"/>
    <n v="47"/>
    <x v="0"/>
    <x v="1"/>
    <n v="2"/>
    <n v="50"/>
    <n v="100"/>
    <n v="1.5"/>
  </r>
  <r>
    <n v="610"/>
    <n v="2023"/>
    <n v="1"/>
    <n v="3"/>
    <s v="January"/>
    <s v="Tuesday"/>
    <d v="2023-01-03T00:00:00"/>
    <s v="CUST610"/>
    <x v="1"/>
    <n v="26"/>
    <x v="1"/>
    <x v="0"/>
    <n v="2"/>
    <n v="300"/>
    <n v="600"/>
    <n v="9"/>
  </r>
  <r>
    <n v="611"/>
    <n v="2023"/>
    <n v="2"/>
    <n v="24"/>
    <s v="February"/>
    <s v="Friday"/>
    <d v="2023-02-24T00:00:00"/>
    <s v="CUST611"/>
    <x v="0"/>
    <n v="51"/>
    <x v="2"/>
    <x v="0"/>
    <n v="3"/>
    <n v="500"/>
    <n v="1500"/>
    <n v="22.5"/>
  </r>
  <r>
    <n v="612"/>
    <n v="2023"/>
    <n v="8"/>
    <n v="6"/>
    <s v="August"/>
    <s v="Sunday"/>
    <d v="2023-08-06T00:00:00"/>
    <s v="CUST612"/>
    <x v="1"/>
    <n v="61"/>
    <x v="2"/>
    <x v="2"/>
    <n v="1"/>
    <n v="500"/>
    <n v="500"/>
    <n v="7.5"/>
  </r>
  <r>
    <n v="613"/>
    <n v="2023"/>
    <n v="4"/>
    <n v="23"/>
    <s v="April"/>
    <s v="Sunday"/>
    <d v="2023-04-23T00:00:00"/>
    <s v="CUST613"/>
    <x v="1"/>
    <n v="52"/>
    <x v="2"/>
    <x v="1"/>
    <n v="3"/>
    <n v="30"/>
    <n v="90"/>
    <n v="1.3499999999999999"/>
  </r>
  <r>
    <n v="614"/>
    <n v="2023"/>
    <n v="4"/>
    <n v="1"/>
    <s v="April"/>
    <s v="Saturday"/>
    <d v="2023-04-01T00:00:00"/>
    <s v="CUST614"/>
    <x v="1"/>
    <n v="39"/>
    <x v="0"/>
    <x v="0"/>
    <n v="4"/>
    <n v="300"/>
    <n v="1200"/>
    <n v="18"/>
  </r>
  <r>
    <n v="615"/>
    <n v="2023"/>
    <n v="12"/>
    <n v="23"/>
    <s v="December"/>
    <s v="Saturday"/>
    <d v="2023-12-23T00:00:00"/>
    <s v="CUST615"/>
    <x v="1"/>
    <n v="61"/>
    <x v="2"/>
    <x v="1"/>
    <n v="4"/>
    <n v="25"/>
    <n v="100"/>
    <n v="1.5"/>
  </r>
  <r>
    <n v="616"/>
    <n v="2023"/>
    <n v="9"/>
    <n v="23"/>
    <s v="September"/>
    <s v="Saturday"/>
    <d v="2023-09-23T00:00:00"/>
    <s v="CUST616"/>
    <x v="0"/>
    <n v="41"/>
    <x v="0"/>
    <x v="1"/>
    <n v="2"/>
    <n v="50"/>
    <n v="100"/>
    <n v="1.5"/>
  </r>
  <r>
    <n v="617"/>
    <n v="2023"/>
    <n v="8"/>
    <n v="26"/>
    <s v="August"/>
    <s v="Saturday"/>
    <d v="2023-08-26T00:00:00"/>
    <s v="CUST617"/>
    <x v="0"/>
    <n v="34"/>
    <x v="0"/>
    <x v="2"/>
    <n v="1"/>
    <n v="30"/>
    <n v="30"/>
    <n v="0.44999999999999996"/>
  </r>
  <r>
    <n v="618"/>
    <n v="2023"/>
    <n v="1"/>
    <n v="26"/>
    <s v="January"/>
    <s v="Thursday"/>
    <d v="2023-01-26T00:00:00"/>
    <s v="CUST618"/>
    <x v="1"/>
    <n v="27"/>
    <x v="1"/>
    <x v="0"/>
    <n v="1"/>
    <n v="50"/>
    <n v="50"/>
    <n v="0.75"/>
  </r>
  <r>
    <n v="619"/>
    <n v="2023"/>
    <n v="10"/>
    <n v="13"/>
    <s v="October"/>
    <s v="Friday"/>
    <d v="2023-10-13T00:00:00"/>
    <s v="CUST619"/>
    <x v="0"/>
    <n v="47"/>
    <x v="0"/>
    <x v="2"/>
    <n v="4"/>
    <n v="25"/>
    <n v="100"/>
    <n v="1.5"/>
  </r>
  <r>
    <n v="620"/>
    <n v="2023"/>
    <n v="5"/>
    <n v="8"/>
    <s v="May"/>
    <s v="Monday"/>
    <d v="2023-05-08T00:00:00"/>
    <s v="CUST620"/>
    <x v="0"/>
    <n v="63"/>
    <x v="2"/>
    <x v="2"/>
    <n v="3"/>
    <n v="25"/>
    <n v="75"/>
    <n v="1.125"/>
  </r>
  <r>
    <n v="621"/>
    <n v="2023"/>
    <n v="3"/>
    <n v="4"/>
    <s v="March"/>
    <s v="Saturday"/>
    <d v="2023-03-04T00:00:00"/>
    <s v="CUST621"/>
    <x v="1"/>
    <n v="40"/>
    <x v="0"/>
    <x v="0"/>
    <n v="2"/>
    <n v="500"/>
    <n v="1000"/>
    <n v="15"/>
  </r>
  <r>
    <n v="622"/>
    <n v="2023"/>
    <n v="8"/>
    <n v="22"/>
    <s v="August"/>
    <s v="Tuesday"/>
    <d v="2023-08-22T00:00:00"/>
    <s v="CUST622"/>
    <x v="1"/>
    <n v="49"/>
    <x v="0"/>
    <x v="0"/>
    <n v="3"/>
    <n v="25"/>
    <n v="75"/>
    <n v="1.125"/>
  </r>
  <r>
    <n v="623"/>
    <n v="2023"/>
    <n v="3"/>
    <n v="10"/>
    <s v="March"/>
    <s v="Friday"/>
    <d v="2023-03-10T00:00:00"/>
    <s v="CUST623"/>
    <x v="0"/>
    <n v="34"/>
    <x v="0"/>
    <x v="1"/>
    <n v="3"/>
    <n v="50"/>
    <n v="150"/>
    <n v="2.25"/>
  </r>
  <r>
    <n v="624"/>
    <n v="2023"/>
    <n v="8"/>
    <n v="26"/>
    <s v="August"/>
    <s v="Saturday"/>
    <d v="2023-08-26T00:00:00"/>
    <s v="CUST624"/>
    <x v="1"/>
    <n v="34"/>
    <x v="0"/>
    <x v="0"/>
    <n v="3"/>
    <n v="300"/>
    <n v="900"/>
    <n v="13.5"/>
  </r>
  <r>
    <n v="625"/>
    <n v="2023"/>
    <n v="12"/>
    <n v="8"/>
    <s v="December"/>
    <s v="Friday"/>
    <d v="2023-12-08T00:00:00"/>
    <s v="CUST625"/>
    <x v="0"/>
    <n v="31"/>
    <x v="0"/>
    <x v="1"/>
    <n v="1"/>
    <n v="300"/>
    <n v="300"/>
    <n v="4.5"/>
  </r>
  <r>
    <n v="626"/>
    <n v="2023"/>
    <n v="9"/>
    <n v="29"/>
    <s v="September"/>
    <s v="Friday"/>
    <d v="2023-09-29T00:00:00"/>
    <s v="CUST626"/>
    <x v="1"/>
    <n v="26"/>
    <x v="1"/>
    <x v="1"/>
    <n v="4"/>
    <n v="500"/>
    <n v="2000"/>
    <n v="30"/>
  </r>
  <r>
    <n v="627"/>
    <n v="2023"/>
    <n v="10"/>
    <n v="14"/>
    <s v="October"/>
    <s v="Saturday"/>
    <d v="2023-10-14T00:00:00"/>
    <s v="CUST627"/>
    <x v="0"/>
    <n v="57"/>
    <x v="2"/>
    <x v="1"/>
    <n v="1"/>
    <n v="50"/>
    <n v="50"/>
    <n v="0.75"/>
  </r>
  <r>
    <n v="628"/>
    <n v="2023"/>
    <n v="11"/>
    <n v="1"/>
    <s v="November"/>
    <s v="Wednesday"/>
    <d v="2023-11-01T00:00:00"/>
    <s v="CUST628"/>
    <x v="1"/>
    <n v="19"/>
    <x v="1"/>
    <x v="0"/>
    <n v="4"/>
    <n v="50"/>
    <n v="200"/>
    <n v="3"/>
  </r>
  <r>
    <n v="629"/>
    <n v="2023"/>
    <n v="6"/>
    <n v="12"/>
    <s v="June"/>
    <s v="Monday"/>
    <d v="2023-06-12T00:00:00"/>
    <s v="CUST629"/>
    <x v="0"/>
    <n v="62"/>
    <x v="2"/>
    <x v="2"/>
    <n v="2"/>
    <n v="25"/>
    <n v="50"/>
    <n v="0.75"/>
  </r>
  <r>
    <n v="630"/>
    <n v="2023"/>
    <n v="8"/>
    <n v="15"/>
    <s v="August"/>
    <s v="Tuesday"/>
    <d v="2023-08-15T00:00:00"/>
    <s v="CUST630"/>
    <x v="0"/>
    <n v="42"/>
    <x v="0"/>
    <x v="1"/>
    <n v="2"/>
    <n v="50"/>
    <n v="100"/>
    <n v="1.5"/>
  </r>
  <r>
    <n v="631"/>
    <n v="2023"/>
    <n v="11"/>
    <n v="10"/>
    <s v="November"/>
    <s v="Friday"/>
    <d v="2023-11-10T00:00:00"/>
    <s v="CUST631"/>
    <x v="0"/>
    <n v="56"/>
    <x v="2"/>
    <x v="2"/>
    <n v="3"/>
    <n v="30"/>
    <n v="90"/>
    <n v="1.3499999999999999"/>
  </r>
  <r>
    <n v="632"/>
    <n v="2023"/>
    <n v="9"/>
    <n v="16"/>
    <s v="September"/>
    <s v="Saturday"/>
    <d v="2023-09-16T00:00:00"/>
    <s v="CUST632"/>
    <x v="1"/>
    <n v="26"/>
    <x v="1"/>
    <x v="2"/>
    <n v="4"/>
    <n v="25"/>
    <n v="100"/>
    <n v="1.5"/>
  </r>
  <r>
    <n v="633"/>
    <n v="2023"/>
    <n v="8"/>
    <n v="7"/>
    <s v="August"/>
    <s v="Monday"/>
    <d v="2023-08-07T00:00:00"/>
    <s v="CUST633"/>
    <x v="0"/>
    <n v="39"/>
    <x v="0"/>
    <x v="0"/>
    <n v="4"/>
    <n v="30"/>
    <n v="120"/>
    <n v="1.7999999999999998"/>
  </r>
  <r>
    <n v="634"/>
    <n v="2023"/>
    <n v="10"/>
    <n v="8"/>
    <s v="October"/>
    <s v="Sunday"/>
    <d v="2023-10-08T00:00:00"/>
    <s v="CUST634"/>
    <x v="0"/>
    <n v="60"/>
    <x v="2"/>
    <x v="2"/>
    <n v="4"/>
    <n v="500"/>
    <n v="2000"/>
    <n v="30"/>
  </r>
  <r>
    <n v="635"/>
    <n v="2023"/>
    <n v="8"/>
    <n v="17"/>
    <s v="August"/>
    <s v="Thursday"/>
    <d v="2023-08-17T00:00:00"/>
    <s v="CUST635"/>
    <x v="1"/>
    <n v="63"/>
    <x v="2"/>
    <x v="2"/>
    <n v="3"/>
    <n v="300"/>
    <n v="900"/>
    <n v="13.5"/>
  </r>
  <r>
    <n v="636"/>
    <n v="2023"/>
    <n v="3"/>
    <n v="23"/>
    <s v="March"/>
    <s v="Thursday"/>
    <d v="2023-03-23T00:00:00"/>
    <s v="CUST636"/>
    <x v="1"/>
    <n v="21"/>
    <x v="1"/>
    <x v="0"/>
    <n v="3"/>
    <n v="500"/>
    <n v="1500"/>
    <n v="22.5"/>
  </r>
  <r>
    <n v="637"/>
    <n v="2023"/>
    <n v="9"/>
    <n v="1"/>
    <s v="September"/>
    <s v="Friday"/>
    <d v="2023-09-01T00:00:00"/>
    <s v="CUST637"/>
    <x v="0"/>
    <n v="43"/>
    <x v="0"/>
    <x v="1"/>
    <n v="2"/>
    <n v="300"/>
    <n v="600"/>
    <n v="9"/>
  </r>
  <r>
    <n v="638"/>
    <n v="2023"/>
    <n v="8"/>
    <n v="19"/>
    <s v="August"/>
    <s v="Saturday"/>
    <d v="2023-08-19T00:00:00"/>
    <s v="CUST638"/>
    <x v="0"/>
    <n v="46"/>
    <x v="0"/>
    <x v="2"/>
    <n v="1"/>
    <n v="500"/>
    <n v="500"/>
    <n v="7.5"/>
  </r>
  <r>
    <n v="639"/>
    <n v="2023"/>
    <n v="5"/>
    <n v="13"/>
    <s v="May"/>
    <s v="Saturday"/>
    <d v="2023-05-13T00:00:00"/>
    <s v="CUST639"/>
    <x v="1"/>
    <n v="62"/>
    <x v="2"/>
    <x v="0"/>
    <n v="4"/>
    <n v="50"/>
    <n v="200"/>
    <n v="3"/>
  </r>
  <r>
    <n v="640"/>
    <n v="2023"/>
    <n v="5"/>
    <n v="7"/>
    <s v="May"/>
    <s v="Sunday"/>
    <d v="2023-05-07T00:00:00"/>
    <s v="CUST640"/>
    <x v="1"/>
    <n v="51"/>
    <x v="2"/>
    <x v="2"/>
    <n v="4"/>
    <n v="30"/>
    <n v="120"/>
    <n v="1.7999999999999998"/>
  </r>
  <r>
    <n v="641"/>
    <n v="2023"/>
    <n v="11"/>
    <n v="23"/>
    <s v="November"/>
    <s v="Thursday"/>
    <d v="2023-11-23T00:00:00"/>
    <s v="CUST641"/>
    <x v="1"/>
    <n v="40"/>
    <x v="0"/>
    <x v="2"/>
    <n v="1"/>
    <n v="300"/>
    <n v="300"/>
    <n v="4.5"/>
  </r>
  <r>
    <n v="642"/>
    <n v="2023"/>
    <n v="5"/>
    <n v="22"/>
    <s v="May"/>
    <s v="Monday"/>
    <d v="2023-05-22T00:00:00"/>
    <s v="CUST642"/>
    <x v="1"/>
    <n v="54"/>
    <x v="2"/>
    <x v="1"/>
    <n v="4"/>
    <n v="25"/>
    <n v="100"/>
    <n v="1.5"/>
  </r>
  <r>
    <n v="643"/>
    <n v="2023"/>
    <n v="9"/>
    <n v="24"/>
    <s v="September"/>
    <s v="Sunday"/>
    <d v="2023-09-24T00:00:00"/>
    <s v="CUST643"/>
    <x v="1"/>
    <n v="28"/>
    <x v="1"/>
    <x v="2"/>
    <n v="3"/>
    <n v="30"/>
    <n v="90"/>
    <n v="1.3499999999999999"/>
  </r>
  <r>
    <n v="644"/>
    <n v="2023"/>
    <n v="9"/>
    <n v="6"/>
    <s v="September"/>
    <s v="Wednesday"/>
    <d v="2023-09-06T00:00:00"/>
    <s v="CUST644"/>
    <x v="0"/>
    <n v="23"/>
    <x v="1"/>
    <x v="0"/>
    <n v="3"/>
    <n v="25"/>
    <n v="75"/>
    <n v="1.125"/>
  </r>
  <r>
    <n v="645"/>
    <n v="2023"/>
    <n v="11"/>
    <n v="17"/>
    <s v="November"/>
    <s v="Friday"/>
    <d v="2023-11-17T00:00:00"/>
    <s v="CUST645"/>
    <x v="1"/>
    <n v="35"/>
    <x v="0"/>
    <x v="2"/>
    <n v="4"/>
    <n v="30"/>
    <n v="120"/>
    <n v="1.7999999999999998"/>
  </r>
  <r>
    <n v="646"/>
    <n v="2023"/>
    <n v="5"/>
    <n v="3"/>
    <s v="May"/>
    <s v="Wednesday"/>
    <d v="2023-05-03T00:00:00"/>
    <s v="CUST646"/>
    <x v="0"/>
    <n v="38"/>
    <x v="0"/>
    <x v="1"/>
    <n v="3"/>
    <n v="30"/>
    <n v="90"/>
    <n v="1.3499999999999999"/>
  </r>
  <r>
    <n v="647"/>
    <n v="2023"/>
    <n v="5"/>
    <n v="21"/>
    <s v="May"/>
    <s v="Sunday"/>
    <d v="2023-05-21T00:00:00"/>
    <s v="CUST647"/>
    <x v="0"/>
    <n v="59"/>
    <x v="2"/>
    <x v="1"/>
    <n v="3"/>
    <n v="500"/>
    <n v="1500"/>
    <n v="22.5"/>
  </r>
  <r>
    <n v="648"/>
    <n v="2023"/>
    <n v="8"/>
    <n v="14"/>
    <s v="August"/>
    <s v="Monday"/>
    <d v="2023-08-14T00:00:00"/>
    <s v="CUST648"/>
    <x v="0"/>
    <n v="53"/>
    <x v="2"/>
    <x v="0"/>
    <n v="4"/>
    <n v="300"/>
    <n v="1200"/>
    <n v="18"/>
  </r>
  <r>
    <n v="649"/>
    <n v="2023"/>
    <n v="2"/>
    <n v="9"/>
    <s v="February"/>
    <s v="Thursday"/>
    <d v="2023-02-09T00:00:00"/>
    <s v="CUST649"/>
    <x v="1"/>
    <n v="58"/>
    <x v="2"/>
    <x v="1"/>
    <n v="2"/>
    <n v="300"/>
    <n v="600"/>
    <n v="9"/>
  </r>
  <r>
    <n v="650"/>
    <n v="2024"/>
    <n v="1"/>
    <n v="1"/>
    <s v="January"/>
    <s v="Monday"/>
    <d v="2024-01-01T00:00:00"/>
    <s v="CUST650"/>
    <x v="0"/>
    <n v="55"/>
    <x v="2"/>
    <x v="2"/>
    <n v="1"/>
    <n v="30"/>
    <n v="30"/>
    <n v="0.44999999999999996"/>
  </r>
  <r>
    <n v="651"/>
    <n v="2023"/>
    <n v="5"/>
    <n v="27"/>
    <s v="May"/>
    <s v="Saturday"/>
    <d v="2023-05-27T00:00:00"/>
    <s v="CUST651"/>
    <x v="0"/>
    <n v="51"/>
    <x v="2"/>
    <x v="1"/>
    <n v="3"/>
    <n v="50"/>
    <n v="150"/>
    <n v="2.25"/>
  </r>
  <r>
    <n v="652"/>
    <n v="2023"/>
    <n v="5"/>
    <n v="1"/>
    <s v="May"/>
    <s v="Monday"/>
    <d v="2023-05-01T00:00:00"/>
    <s v="CUST652"/>
    <x v="1"/>
    <n v="34"/>
    <x v="0"/>
    <x v="0"/>
    <n v="2"/>
    <n v="50"/>
    <n v="100"/>
    <n v="1.5"/>
  </r>
  <r>
    <n v="653"/>
    <n v="2023"/>
    <n v="5"/>
    <n v="20"/>
    <s v="May"/>
    <s v="Saturday"/>
    <d v="2023-05-20T00:00:00"/>
    <s v="CUST653"/>
    <x v="0"/>
    <n v="54"/>
    <x v="2"/>
    <x v="1"/>
    <n v="3"/>
    <n v="25"/>
    <n v="75"/>
    <n v="1.125"/>
  </r>
  <r>
    <n v="654"/>
    <n v="2023"/>
    <n v="6"/>
    <n v="21"/>
    <s v="June"/>
    <s v="Wednesday"/>
    <d v="2023-06-21T00:00:00"/>
    <s v="CUST654"/>
    <x v="0"/>
    <n v="42"/>
    <x v="0"/>
    <x v="1"/>
    <n v="3"/>
    <n v="25"/>
    <n v="75"/>
    <n v="1.125"/>
  </r>
  <r>
    <n v="655"/>
    <n v="2023"/>
    <n v="6"/>
    <n v="13"/>
    <s v="June"/>
    <s v="Tuesday"/>
    <d v="2023-06-13T00:00:00"/>
    <s v="CUST655"/>
    <x v="1"/>
    <n v="55"/>
    <x v="2"/>
    <x v="1"/>
    <n v="1"/>
    <n v="500"/>
    <n v="500"/>
    <n v="7.5"/>
  </r>
  <r>
    <n v="656"/>
    <n v="2023"/>
    <n v="10"/>
    <n v="4"/>
    <s v="October"/>
    <s v="Wednesday"/>
    <d v="2023-10-04T00:00:00"/>
    <s v="CUST656"/>
    <x v="0"/>
    <n v="29"/>
    <x v="1"/>
    <x v="0"/>
    <n v="3"/>
    <n v="30"/>
    <n v="90"/>
    <n v="1.3499999999999999"/>
  </r>
  <r>
    <n v="657"/>
    <n v="2023"/>
    <n v="2"/>
    <n v="11"/>
    <s v="February"/>
    <s v="Saturday"/>
    <d v="2023-02-11T00:00:00"/>
    <s v="CUST657"/>
    <x v="0"/>
    <n v="40"/>
    <x v="0"/>
    <x v="1"/>
    <n v="1"/>
    <n v="25"/>
    <n v="25"/>
    <n v="0.375"/>
  </r>
  <r>
    <n v="658"/>
    <n v="2023"/>
    <n v="3"/>
    <n v="12"/>
    <s v="March"/>
    <s v="Sunday"/>
    <d v="2023-03-12T00:00:00"/>
    <s v="CUST658"/>
    <x v="0"/>
    <n v="59"/>
    <x v="2"/>
    <x v="1"/>
    <n v="1"/>
    <n v="25"/>
    <n v="25"/>
    <n v="0.375"/>
  </r>
  <r>
    <n v="659"/>
    <n v="2023"/>
    <n v="3"/>
    <n v="19"/>
    <s v="March"/>
    <s v="Sunday"/>
    <d v="2023-03-19T00:00:00"/>
    <s v="CUST659"/>
    <x v="1"/>
    <n v="39"/>
    <x v="0"/>
    <x v="2"/>
    <n v="1"/>
    <n v="30"/>
    <n v="30"/>
    <n v="0.44999999999999996"/>
  </r>
  <r>
    <n v="660"/>
    <n v="2023"/>
    <n v="4"/>
    <n v="29"/>
    <s v="April"/>
    <s v="Saturday"/>
    <d v="2023-04-29T00:00:00"/>
    <s v="CUST660"/>
    <x v="1"/>
    <n v="38"/>
    <x v="0"/>
    <x v="0"/>
    <n v="2"/>
    <n v="500"/>
    <n v="1000"/>
    <n v="15"/>
  </r>
  <r>
    <n v="661"/>
    <n v="2023"/>
    <n v="7"/>
    <n v="16"/>
    <s v="July"/>
    <s v="Sunday"/>
    <d v="2023-07-16T00:00:00"/>
    <s v="CUST661"/>
    <x v="1"/>
    <n v="44"/>
    <x v="0"/>
    <x v="1"/>
    <n v="4"/>
    <n v="25"/>
    <n v="100"/>
    <n v="1.5"/>
  </r>
  <r>
    <n v="662"/>
    <n v="2023"/>
    <n v="12"/>
    <n v="22"/>
    <s v="December"/>
    <s v="Friday"/>
    <d v="2023-12-22T00:00:00"/>
    <s v="CUST662"/>
    <x v="0"/>
    <n v="48"/>
    <x v="0"/>
    <x v="0"/>
    <n v="2"/>
    <n v="500"/>
    <n v="1000"/>
    <n v="15"/>
  </r>
  <r>
    <n v="663"/>
    <n v="2023"/>
    <n v="3"/>
    <n v="20"/>
    <s v="March"/>
    <s v="Monday"/>
    <d v="2023-03-20T00:00:00"/>
    <s v="CUST663"/>
    <x v="0"/>
    <n v="23"/>
    <x v="1"/>
    <x v="1"/>
    <n v="4"/>
    <n v="300"/>
    <n v="1200"/>
    <n v="18"/>
  </r>
  <r>
    <n v="664"/>
    <n v="2023"/>
    <n v="12"/>
    <n v="28"/>
    <s v="December"/>
    <s v="Thursday"/>
    <d v="2023-12-28T00:00:00"/>
    <s v="CUST664"/>
    <x v="1"/>
    <n v="44"/>
    <x v="0"/>
    <x v="1"/>
    <n v="4"/>
    <n v="500"/>
    <n v="2000"/>
    <n v="30"/>
  </r>
  <r>
    <n v="665"/>
    <n v="2023"/>
    <n v="4"/>
    <n v="20"/>
    <s v="April"/>
    <s v="Thursday"/>
    <d v="2023-04-20T00:00:00"/>
    <s v="CUST665"/>
    <x v="0"/>
    <n v="57"/>
    <x v="2"/>
    <x v="1"/>
    <n v="1"/>
    <n v="50"/>
    <n v="50"/>
    <n v="0.75"/>
  </r>
  <r>
    <n v="666"/>
    <n v="2023"/>
    <n v="2"/>
    <n v="2"/>
    <s v="February"/>
    <s v="Thursday"/>
    <d v="2023-02-02T00:00:00"/>
    <s v="CUST666"/>
    <x v="0"/>
    <n v="51"/>
    <x v="2"/>
    <x v="2"/>
    <n v="3"/>
    <n v="50"/>
    <n v="150"/>
    <n v="2.25"/>
  </r>
  <r>
    <n v="667"/>
    <n v="2023"/>
    <n v="8"/>
    <n v="1"/>
    <s v="August"/>
    <s v="Tuesday"/>
    <d v="2023-08-01T00:00:00"/>
    <s v="CUST667"/>
    <x v="1"/>
    <n v="29"/>
    <x v="1"/>
    <x v="2"/>
    <n v="1"/>
    <n v="500"/>
    <n v="500"/>
    <n v="7.5"/>
  </r>
  <r>
    <n v="668"/>
    <n v="2023"/>
    <n v="7"/>
    <n v="28"/>
    <s v="July"/>
    <s v="Friday"/>
    <d v="2023-07-28T00:00:00"/>
    <s v="CUST668"/>
    <x v="1"/>
    <n v="62"/>
    <x v="2"/>
    <x v="2"/>
    <n v="3"/>
    <n v="50"/>
    <n v="150"/>
    <n v="2.25"/>
  </r>
  <r>
    <n v="669"/>
    <n v="2023"/>
    <n v="6"/>
    <n v="19"/>
    <s v="June"/>
    <s v="Monday"/>
    <d v="2023-06-19T00:00:00"/>
    <s v="CUST669"/>
    <x v="0"/>
    <n v="24"/>
    <x v="1"/>
    <x v="0"/>
    <n v="4"/>
    <n v="300"/>
    <n v="1200"/>
    <n v="18"/>
  </r>
  <r>
    <n v="670"/>
    <n v="2023"/>
    <n v="10"/>
    <n v="5"/>
    <s v="October"/>
    <s v="Thursday"/>
    <d v="2023-10-05T00:00:00"/>
    <s v="CUST670"/>
    <x v="0"/>
    <n v="27"/>
    <x v="1"/>
    <x v="0"/>
    <n v="1"/>
    <n v="30"/>
    <n v="30"/>
    <n v="0.44999999999999996"/>
  </r>
  <r>
    <n v="671"/>
    <n v="2023"/>
    <n v="8"/>
    <n v="27"/>
    <s v="August"/>
    <s v="Sunday"/>
    <d v="2023-08-27T00:00:00"/>
    <s v="CUST671"/>
    <x v="0"/>
    <n v="62"/>
    <x v="2"/>
    <x v="2"/>
    <n v="3"/>
    <n v="50"/>
    <n v="150"/>
    <n v="2.25"/>
  </r>
  <r>
    <n v="672"/>
    <n v="2023"/>
    <n v="8"/>
    <n v="1"/>
    <s v="August"/>
    <s v="Tuesday"/>
    <d v="2023-08-01T00:00:00"/>
    <s v="CUST672"/>
    <x v="1"/>
    <n v="34"/>
    <x v="0"/>
    <x v="0"/>
    <n v="2"/>
    <n v="50"/>
    <n v="100"/>
    <n v="1.5"/>
  </r>
  <r>
    <n v="673"/>
    <n v="2023"/>
    <n v="2"/>
    <n v="1"/>
    <s v="February"/>
    <s v="Wednesday"/>
    <d v="2023-02-01T00:00:00"/>
    <s v="CUST673"/>
    <x v="1"/>
    <n v="43"/>
    <x v="0"/>
    <x v="1"/>
    <n v="3"/>
    <n v="500"/>
    <n v="1500"/>
    <n v="22.5"/>
  </r>
  <r>
    <n v="674"/>
    <n v="2023"/>
    <n v="4"/>
    <n v="16"/>
    <s v="April"/>
    <s v="Sunday"/>
    <d v="2023-04-16T00:00:00"/>
    <s v="CUST674"/>
    <x v="1"/>
    <n v="38"/>
    <x v="0"/>
    <x v="1"/>
    <n v="1"/>
    <n v="300"/>
    <n v="300"/>
    <n v="4.5"/>
  </r>
  <r>
    <n v="675"/>
    <n v="2023"/>
    <n v="8"/>
    <n v="4"/>
    <s v="August"/>
    <s v="Friday"/>
    <d v="2023-08-04T00:00:00"/>
    <s v="CUST675"/>
    <x v="1"/>
    <n v="45"/>
    <x v="0"/>
    <x v="1"/>
    <n v="2"/>
    <n v="30"/>
    <n v="60"/>
    <n v="0.89999999999999991"/>
  </r>
  <r>
    <n v="676"/>
    <n v="2023"/>
    <n v="7"/>
    <n v="19"/>
    <s v="July"/>
    <s v="Wednesday"/>
    <d v="2023-07-19T00:00:00"/>
    <s v="CUST676"/>
    <x v="0"/>
    <n v="63"/>
    <x v="2"/>
    <x v="2"/>
    <n v="3"/>
    <n v="500"/>
    <n v="1500"/>
    <n v="22.5"/>
  </r>
  <r>
    <n v="677"/>
    <n v="2023"/>
    <n v="10"/>
    <n v="27"/>
    <s v="October"/>
    <s v="Friday"/>
    <d v="2023-10-27T00:00:00"/>
    <s v="CUST677"/>
    <x v="1"/>
    <n v="19"/>
    <x v="1"/>
    <x v="0"/>
    <n v="3"/>
    <n v="500"/>
    <n v="1500"/>
    <n v="22.5"/>
  </r>
  <r>
    <n v="678"/>
    <n v="2023"/>
    <n v="12"/>
    <n v="23"/>
    <s v="December"/>
    <s v="Saturday"/>
    <d v="2023-12-23T00:00:00"/>
    <s v="CUST678"/>
    <x v="1"/>
    <n v="60"/>
    <x v="2"/>
    <x v="2"/>
    <n v="3"/>
    <n v="300"/>
    <n v="900"/>
    <n v="13.5"/>
  </r>
  <r>
    <n v="679"/>
    <n v="2023"/>
    <n v="1"/>
    <n v="11"/>
    <s v="January"/>
    <s v="Wednesday"/>
    <d v="2023-01-11T00:00:00"/>
    <s v="CUST679"/>
    <x v="1"/>
    <n v="18"/>
    <x v="1"/>
    <x v="0"/>
    <n v="3"/>
    <n v="30"/>
    <n v="90"/>
    <n v="1.3499999999999999"/>
  </r>
  <r>
    <n v="680"/>
    <n v="2023"/>
    <n v="10"/>
    <n v="22"/>
    <s v="October"/>
    <s v="Sunday"/>
    <d v="2023-10-22T00:00:00"/>
    <s v="CUST680"/>
    <x v="1"/>
    <n v="53"/>
    <x v="2"/>
    <x v="1"/>
    <n v="3"/>
    <n v="300"/>
    <n v="900"/>
    <n v="13.5"/>
  </r>
  <r>
    <n v="681"/>
    <n v="2023"/>
    <n v="7"/>
    <n v="14"/>
    <s v="July"/>
    <s v="Friday"/>
    <d v="2023-07-14T00:00:00"/>
    <s v="CUST681"/>
    <x v="1"/>
    <n v="43"/>
    <x v="0"/>
    <x v="2"/>
    <n v="2"/>
    <n v="30"/>
    <n v="60"/>
    <n v="0.89999999999999991"/>
  </r>
  <r>
    <n v="682"/>
    <n v="2023"/>
    <n v="9"/>
    <n v="2"/>
    <s v="September"/>
    <s v="Saturday"/>
    <d v="2023-09-02T00:00:00"/>
    <s v="CUST682"/>
    <x v="0"/>
    <n v="46"/>
    <x v="0"/>
    <x v="0"/>
    <n v="4"/>
    <n v="300"/>
    <n v="1200"/>
    <n v="18"/>
  </r>
  <r>
    <n v="683"/>
    <n v="2023"/>
    <n v="1"/>
    <n v="4"/>
    <s v="January"/>
    <s v="Wednesday"/>
    <d v="2023-01-04T00:00:00"/>
    <s v="CUST683"/>
    <x v="0"/>
    <n v="38"/>
    <x v="0"/>
    <x v="0"/>
    <n v="2"/>
    <n v="500"/>
    <n v="1000"/>
    <n v="15"/>
  </r>
  <r>
    <n v="684"/>
    <n v="2023"/>
    <n v="6"/>
    <n v="30"/>
    <s v="June"/>
    <s v="Friday"/>
    <d v="2023-06-30T00:00:00"/>
    <s v="CUST684"/>
    <x v="1"/>
    <n v="28"/>
    <x v="1"/>
    <x v="1"/>
    <n v="2"/>
    <n v="500"/>
    <n v="1000"/>
    <n v="15"/>
  </r>
  <r>
    <n v="685"/>
    <n v="2023"/>
    <n v="6"/>
    <n v="2"/>
    <s v="June"/>
    <s v="Friday"/>
    <d v="2023-06-02T00:00:00"/>
    <s v="CUST685"/>
    <x v="0"/>
    <n v="57"/>
    <x v="2"/>
    <x v="2"/>
    <n v="2"/>
    <n v="25"/>
    <n v="50"/>
    <n v="0.75"/>
  </r>
  <r>
    <n v="686"/>
    <n v="2023"/>
    <n v="7"/>
    <n v="19"/>
    <s v="July"/>
    <s v="Wednesday"/>
    <d v="2023-07-19T00:00:00"/>
    <s v="CUST686"/>
    <x v="1"/>
    <n v="28"/>
    <x v="1"/>
    <x v="2"/>
    <n v="4"/>
    <n v="50"/>
    <n v="200"/>
    <n v="3"/>
  </r>
  <r>
    <n v="687"/>
    <n v="2023"/>
    <n v="8"/>
    <n v="3"/>
    <s v="August"/>
    <s v="Thursday"/>
    <d v="2023-08-03T00:00:00"/>
    <s v="CUST687"/>
    <x v="1"/>
    <n v="53"/>
    <x v="2"/>
    <x v="2"/>
    <n v="1"/>
    <n v="300"/>
    <n v="300"/>
    <n v="4.5"/>
  </r>
  <r>
    <n v="688"/>
    <n v="2023"/>
    <n v="10"/>
    <n v="3"/>
    <s v="October"/>
    <s v="Tuesday"/>
    <d v="2023-10-03T00:00:00"/>
    <s v="CUST688"/>
    <x v="0"/>
    <n v="56"/>
    <x v="2"/>
    <x v="1"/>
    <n v="4"/>
    <n v="25"/>
    <n v="100"/>
    <n v="1.5"/>
  </r>
  <r>
    <n v="689"/>
    <n v="2023"/>
    <n v="10"/>
    <n v="7"/>
    <s v="October"/>
    <s v="Saturday"/>
    <d v="2023-10-07T00:00:00"/>
    <s v="CUST689"/>
    <x v="0"/>
    <n v="57"/>
    <x v="2"/>
    <x v="2"/>
    <n v="2"/>
    <n v="50"/>
    <n v="100"/>
    <n v="1.5"/>
  </r>
  <r>
    <n v="690"/>
    <n v="2023"/>
    <n v="11"/>
    <n v="5"/>
    <s v="November"/>
    <s v="Sunday"/>
    <d v="2023-11-05T00:00:00"/>
    <s v="CUST690"/>
    <x v="1"/>
    <n v="52"/>
    <x v="2"/>
    <x v="1"/>
    <n v="3"/>
    <n v="300"/>
    <n v="900"/>
    <n v="13.5"/>
  </r>
  <r>
    <n v="691"/>
    <n v="2023"/>
    <n v="4"/>
    <n v="23"/>
    <s v="April"/>
    <s v="Sunday"/>
    <d v="2023-04-23T00:00:00"/>
    <s v="CUST691"/>
    <x v="1"/>
    <n v="51"/>
    <x v="2"/>
    <x v="1"/>
    <n v="3"/>
    <n v="30"/>
    <n v="90"/>
    <n v="1.3499999999999999"/>
  </r>
  <r>
    <n v="692"/>
    <n v="2023"/>
    <n v="9"/>
    <n v="7"/>
    <s v="September"/>
    <s v="Thursday"/>
    <d v="2023-09-07T00:00:00"/>
    <s v="CUST692"/>
    <x v="1"/>
    <n v="64"/>
    <x v="2"/>
    <x v="1"/>
    <n v="2"/>
    <n v="50"/>
    <n v="100"/>
    <n v="1.5"/>
  </r>
  <r>
    <n v="693"/>
    <n v="2023"/>
    <n v="4"/>
    <n v="23"/>
    <s v="April"/>
    <s v="Sunday"/>
    <d v="2023-04-23T00:00:00"/>
    <s v="CUST693"/>
    <x v="0"/>
    <n v="41"/>
    <x v="0"/>
    <x v="0"/>
    <n v="3"/>
    <n v="500"/>
    <n v="1500"/>
    <n v="22.5"/>
  </r>
  <r>
    <n v="694"/>
    <n v="2023"/>
    <n v="5"/>
    <n v="20"/>
    <s v="May"/>
    <s v="Saturday"/>
    <d v="2023-05-20T00:00:00"/>
    <s v="CUST694"/>
    <x v="1"/>
    <n v="39"/>
    <x v="0"/>
    <x v="2"/>
    <n v="2"/>
    <n v="25"/>
    <n v="50"/>
    <n v="0.75"/>
  </r>
  <r>
    <n v="695"/>
    <n v="2023"/>
    <n v="8"/>
    <n v="12"/>
    <s v="August"/>
    <s v="Saturday"/>
    <d v="2023-08-12T00:00:00"/>
    <s v="CUST695"/>
    <x v="1"/>
    <n v="22"/>
    <x v="1"/>
    <x v="2"/>
    <n v="3"/>
    <n v="50"/>
    <n v="150"/>
    <n v="2.25"/>
  </r>
  <r>
    <n v="696"/>
    <n v="2023"/>
    <n v="9"/>
    <n v="6"/>
    <s v="September"/>
    <s v="Wednesday"/>
    <d v="2023-09-06T00:00:00"/>
    <s v="CUST696"/>
    <x v="1"/>
    <n v="50"/>
    <x v="2"/>
    <x v="1"/>
    <n v="4"/>
    <n v="50"/>
    <n v="200"/>
    <n v="3"/>
  </r>
  <r>
    <n v="697"/>
    <n v="2023"/>
    <n v="1"/>
    <n v="15"/>
    <s v="January"/>
    <s v="Sunday"/>
    <d v="2023-01-15T00:00:00"/>
    <s v="CUST697"/>
    <x v="0"/>
    <n v="53"/>
    <x v="2"/>
    <x v="1"/>
    <n v="1"/>
    <n v="500"/>
    <n v="500"/>
    <n v="7.5"/>
  </r>
  <r>
    <n v="698"/>
    <n v="2023"/>
    <n v="7"/>
    <n v="19"/>
    <s v="July"/>
    <s v="Wednesday"/>
    <d v="2023-07-19T00:00:00"/>
    <s v="CUST698"/>
    <x v="1"/>
    <n v="64"/>
    <x v="2"/>
    <x v="2"/>
    <n v="1"/>
    <n v="300"/>
    <n v="300"/>
    <n v="4.5"/>
  </r>
  <r>
    <n v="699"/>
    <n v="2023"/>
    <n v="6"/>
    <n v="22"/>
    <s v="June"/>
    <s v="Thursday"/>
    <d v="2023-06-22T00:00:00"/>
    <s v="CUST699"/>
    <x v="1"/>
    <n v="37"/>
    <x v="0"/>
    <x v="1"/>
    <n v="4"/>
    <n v="30"/>
    <n v="120"/>
    <n v="1.7999999999999998"/>
  </r>
  <r>
    <n v="700"/>
    <n v="2023"/>
    <n v="12"/>
    <n v="9"/>
    <s v="December"/>
    <s v="Saturday"/>
    <d v="2023-12-09T00:00:00"/>
    <s v="CUST700"/>
    <x v="0"/>
    <n v="36"/>
    <x v="0"/>
    <x v="2"/>
    <n v="4"/>
    <n v="500"/>
    <n v="2000"/>
    <n v="30"/>
  </r>
  <r>
    <n v="701"/>
    <n v="2023"/>
    <n v="12"/>
    <n v="14"/>
    <s v="December"/>
    <s v="Thursday"/>
    <d v="2023-12-14T00:00:00"/>
    <s v="CUST701"/>
    <x v="1"/>
    <n v="52"/>
    <x v="2"/>
    <x v="0"/>
    <n v="2"/>
    <n v="30"/>
    <n v="60"/>
    <n v="0.89999999999999991"/>
  </r>
  <r>
    <n v="702"/>
    <n v="2023"/>
    <n v="7"/>
    <n v="27"/>
    <s v="July"/>
    <s v="Thursday"/>
    <d v="2023-07-27T00:00:00"/>
    <s v="CUST702"/>
    <x v="1"/>
    <n v="60"/>
    <x v="2"/>
    <x v="1"/>
    <n v="2"/>
    <n v="300"/>
    <n v="600"/>
    <n v="9"/>
  </r>
  <r>
    <n v="703"/>
    <n v="2023"/>
    <n v="3"/>
    <n v="26"/>
    <s v="March"/>
    <s v="Sunday"/>
    <d v="2023-03-26T00:00:00"/>
    <s v="CUST703"/>
    <x v="0"/>
    <n v="34"/>
    <x v="0"/>
    <x v="2"/>
    <n v="2"/>
    <n v="50"/>
    <n v="100"/>
    <n v="1.5"/>
  </r>
  <r>
    <n v="704"/>
    <n v="2023"/>
    <n v="8"/>
    <n v="28"/>
    <s v="August"/>
    <s v="Monday"/>
    <d v="2023-08-28T00:00:00"/>
    <s v="CUST704"/>
    <x v="1"/>
    <n v="62"/>
    <x v="2"/>
    <x v="1"/>
    <n v="3"/>
    <n v="30"/>
    <n v="90"/>
    <n v="1.3499999999999999"/>
  </r>
  <r>
    <n v="705"/>
    <n v="2023"/>
    <n v="3"/>
    <n v="7"/>
    <s v="March"/>
    <s v="Tuesday"/>
    <d v="2023-03-07T00:00:00"/>
    <s v="CUST705"/>
    <x v="0"/>
    <n v="60"/>
    <x v="2"/>
    <x v="2"/>
    <n v="2"/>
    <n v="25"/>
    <n v="50"/>
    <n v="0.75"/>
  </r>
  <r>
    <n v="706"/>
    <n v="2023"/>
    <n v="11"/>
    <n v="15"/>
    <s v="November"/>
    <s v="Wednesday"/>
    <d v="2023-11-15T00:00:00"/>
    <s v="CUST706"/>
    <x v="0"/>
    <n v="51"/>
    <x v="2"/>
    <x v="2"/>
    <n v="4"/>
    <n v="25"/>
    <n v="100"/>
    <n v="1.5"/>
  </r>
  <r>
    <n v="707"/>
    <n v="2023"/>
    <n v="10"/>
    <n v="1"/>
    <s v="October"/>
    <s v="Sunday"/>
    <d v="2023-10-01T00:00:00"/>
    <s v="CUST707"/>
    <x v="1"/>
    <n v="26"/>
    <x v="1"/>
    <x v="1"/>
    <n v="1"/>
    <n v="500"/>
    <n v="500"/>
    <n v="7.5"/>
  </r>
  <r>
    <n v="708"/>
    <n v="2023"/>
    <n v="1"/>
    <n v="14"/>
    <s v="January"/>
    <s v="Saturday"/>
    <d v="2023-01-14T00:00:00"/>
    <s v="CUST708"/>
    <x v="1"/>
    <n v="43"/>
    <x v="0"/>
    <x v="0"/>
    <n v="3"/>
    <n v="300"/>
    <n v="900"/>
    <n v="13.5"/>
  </r>
  <r>
    <n v="709"/>
    <n v="2023"/>
    <n v="7"/>
    <n v="21"/>
    <s v="July"/>
    <s v="Friday"/>
    <d v="2023-07-21T00:00:00"/>
    <s v="CUST709"/>
    <x v="1"/>
    <n v="19"/>
    <x v="1"/>
    <x v="2"/>
    <n v="2"/>
    <n v="500"/>
    <n v="1000"/>
    <n v="15"/>
  </r>
  <r>
    <n v="710"/>
    <n v="2023"/>
    <n v="10"/>
    <n v="31"/>
    <s v="October"/>
    <s v="Tuesday"/>
    <d v="2023-10-31T00:00:00"/>
    <s v="CUST710"/>
    <x v="1"/>
    <n v="26"/>
    <x v="1"/>
    <x v="2"/>
    <n v="3"/>
    <n v="500"/>
    <n v="1500"/>
    <n v="22.5"/>
  </r>
  <r>
    <n v="711"/>
    <n v="2023"/>
    <n v="10"/>
    <n v="16"/>
    <s v="October"/>
    <s v="Monday"/>
    <d v="2023-10-16T00:00:00"/>
    <s v="CUST711"/>
    <x v="0"/>
    <n v="26"/>
    <x v="1"/>
    <x v="2"/>
    <n v="3"/>
    <n v="500"/>
    <n v="1500"/>
    <n v="22.5"/>
  </r>
  <r>
    <n v="712"/>
    <n v="2023"/>
    <n v="12"/>
    <n v="6"/>
    <s v="December"/>
    <s v="Wednesday"/>
    <d v="2023-12-06T00:00:00"/>
    <s v="CUST712"/>
    <x v="1"/>
    <n v="57"/>
    <x v="2"/>
    <x v="0"/>
    <n v="2"/>
    <n v="25"/>
    <n v="50"/>
    <n v="0.75"/>
  </r>
  <r>
    <n v="713"/>
    <n v="2023"/>
    <n v="1"/>
    <n v="14"/>
    <s v="January"/>
    <s v="Saturday"/>
    <d v="2023-01-14T00:00:00"/>
    <s v="CUST713"/>
    <x v="0"/>
    <n v="34"/>
    <x v="0"/>
    <x v="0"/>
    <n v="3"/>
    <n v="25"/>
    <n v="75"/>
    <n v="1.125"/>
  </r>
  <r>
    <n v="714"/>
    <n v="2023"/>
    <n v="2"/>
    <n v="12"/>
    <s v="February"/>
    <s v="Sunday"/>
    <d v="2023-02-12T00:00:00"/>
    <s v="CUST714"/>
    <x v="1"/>
    <n v="18"/>
    <x v="1"/>
    <x v="1"/>
    <n v="1"/>
    <n v="500"/>
    <n v="500"/>
    <n v="7.5"/>
  </r>
  <r>
    <n v="715"/>
    <n v="2023"/>
    <n v="11"/>
    <n v="26"/>
    <s v="November"/>
    <s v="Sunday"/>
    <d v="2023-11-26T00:00:00"/>
    <s v="CUST715"/>
    <x v="1"/>
    <n v="42"/>
    <x v="0"/>
    <x v="0"/>
    <n v="4"/>
    <n v="25"/>
    <n v="100"/>
    <n v="1.5"/>
  </r>
  <r>
    <n v="716"/>
    <n v="2023"/>
    <n v="8"/>
    <n v="8"/>
    <s v="August"/>
    <s v="Tuesday"/>
    <d v="2023-08-08T00:00:00"/>
    <s v="CUST716"/>
    <x v="1"/>
    <n v="60"/>
    <x v="2"/>
    <x v="1"/>
    <n v="4"/>
    <n v="300"/>
    <n v="1200"/>
    <n v="18"/>
  </r>
  <r>
    <n v="717"/>
    <n v="2023"/>
    <n v="3"/>
    <n v="11"/>
    <s v="March"/>
    <s v="Saturday"/>
    <d v="2023-03-11T00:00:00"/>
    <s v="CUST717"/>
    <x v="0"/>
    <n v="57"/>
    <x v="2"/>
    <x v="1"/>
    <n v="1"/>
    <n v="500"/>
    <n v="500"/>
    <n v="7.5"/>
  </r>
  <r>
    <n v="718"/>
    <n v="2023"/>
    <n v="8"/>
    <n v="25"/>
    <s v="August"/>
    <s v="Friday"/>
    <d v="2023-08-25T00:00:00"/>
    <s v="CUST718"/>
    <x v="1"/>
    <n v="59"/>
    <x v="2"/>
    <x v="0"/>
    <n v="3"/>
    <n v="25"/>
    <n v="75"/>
    <n v="1.125"/>
  </r>
  <r>
    <n v="719"/>
    <n v="2023"/>
    <n v="4"/>
    <n v="4"/>
    <s v="April"/>
    <s v="Tuesday"/>
    <d v="2023-04-04T00:00:00"/>
    <s v="CUST719"/>
    <x v="1"/>
    <n v="42"/>
    <x v="0"/>
    <x v="1"/>
    <n v="2"/>
    <n v="30"/>
    <n v="60"/>
    <n v="0.89999999999999991"/>
  </r>
  <r>
    <n v="720"/>
    <n v="2023"/>
    <n v="1"/>
    <n v="26"/>
    <s v="January"/>
    <s v="Thursday"/>
    <d v="2023-01-26T00:00:00"/>
    <s v="CUST720"/>
    <x v="1"/>
    <n v="56"/>
    <x v="2"/>
    <x v="0"/>
    <n v="3"/>
    <n v="500"/>
    <n v="1500"/>
    <n v="22.5"/>
  </r>
  <r>
    <n v="721"/>
    <n v="2023"/>
    <n v="5"/>
    <n v="14"/>
    <s v="May"/>
    <s v="Sunday"/>
    <d v="2023-05-14T00:00:00"/>
    <s v="CUST721"/>
    <x v="1"/>
    <n v="52"/>
    <x v="2"/>
    <x v="1"/>
    <n v="1"/>
    <n v="500"/>
    <n v="500"/>
    <n v="7.5"/>
  </r>
  <r>
    <n v="722"/>
    <n v="2023"/>
    <n v="7"/>
    <n v="14"/>
    <s v="July"/>
    <s v="Friday"/>
    <d v="2023-07-14T00:00:00"/>
    <s v="CUST722"/>
    <x v="0"/>
    <n v="20"/>
    <x v="1"/>
    <x v="0"/>
    <n v="3"/>
    <n v="300"/>
    <n v="900"/>
    <n v="13.5"/>
  </r>
  <r>
    <n v="723"/>
    <n v="2023"/>
    <n v="6"/>
    <n v="17"/>
    <s v="June"/>
    <s v="Saturday"/>
    <d v="2023-06-17T00:00:00"/>
    <s v="CUST723"/>
    <x v="1"/>
    <n v="54"/>
    <x v="2"/>
    <x v="0"/>
    <n v="4"/>
    <n v="50"/>
    <n v="200"/>
    <n v="3"/>
  </r>
  <r>
    <n v="724"/>
    <n v="2023"/>
    <n v="4"/>
    <n v="19"/>
    <s v="April"/>
    <s v="Wednesday"/>
    <d v="2023-04-19T00:00:00"/>
    <s v="CUST724"/>
    <x v="0"/>
    <n v="61"/>
    <x v="2"/>
    <x v="1"/>
    <n v="3"/>
    <n v="50"/>
    <n v="150"/>
    <n v="2.25"/>
  </r>
  <r>
    <n v="725"/>
    <n v="2023"/>
    <n v="8"/>
    <n v="21"/>
    <s v="August"/>
    <s v="Monday"/>
    <d v="2023-08-21T00:00:00"/>
    <s v="CUST725"/>
    <x v="0"/>
    <n v="61"/>
    <x v="2"/>
    <x v="2"/>
    <n v="1"/>
    <n v="300"/>
    <n v="300"/>
    <n v="4.5"/>
  </r>
  <r>
    <n v="726"/>
    <n v="2023"/>
    <n v="6"/>
    <n v="17"/>
    <s v="June"/>
    <s v="Saturday"/>
    <d v="2023-06-17T00:00:00"/>
    <s v="CUST726"/>
    <x v="0"/>
    <n v="47"/>
    <x v="0"/>
    <x v="1"/>
    <n v="4"/>
    <n v="300"/>
    <n v="1200"/>
    <n v="18"/>
  </r>
  <r>
    <n v="727"/>
    <n v="2023"/>
    <n v="6"/>
    <n v="22"/>
    <s v="June"/>
    <s v="Thursday"/>
    <d v="2023-06-22T00:00:00"/>
    <s v="CUST727"/>
    <x v="0"/>
    <n v="55"/>
    <x v="2"/>
    <x v="0"/>
    <n v="3"/>
    <n v="300"/>
    <n v="900"/>
    <n v="13.5"/>
  </r>
  <r>
    <n v="728"/>
    <n v="2023"/>
    <n v="7"/>
    <n v="14"/>
    <s v="July"/>
    <s v="Friday"/>
    <d v="2023-07-14T00:00:00"/>
    <s v="CUST728"/>
    <x v="0"/>
    <n v="51"/>
    <x v="2"/>
    <x v="2"/>
    <n v="3"/>
    <n v="50"/>
    <n v="150"/>
    <n v="2.25"/>
  </r>
  <r>
    <n v="729"/>
    <n v="2023"/>
    <n v="5"/>
    <n v="23"/>
    <s v="May"/>
    <s v="Tuesday"/>
    <d v="2023-05-23T00:00:00"/>
    <s v="CUST729"/>
    <x v="0"/>
    <n v="29"/>
    <x v="1"/>
    <x v="1"/>
    <n v="4"/>
    <n v="300"/>
    <n v="1200"/>
    <n v="18"/>
  </r>
  <r>
    <n v="730"/>
    <n v="2023"/>
    <n v="8"/>
    <n v="4"/>
    <s v="August"/>
    <s v="Friday"/>
    <d v="2023-08-04T00:00:00"/>
    <s v="CUST730"/>
    <x v="1"/>
    <n v="36"/>
    <x v="0"/>
    <x v="1"/>
    <n v="2"/>
    <n v="25"/>
    <n v="50"/>
    <n v="0.75"/>
  </r>
  <r>
    <n v="731"/>
    <n v="2023"/>
    <n v="5"/>
    <n v="10"/>
    <s v="May"/>
    <s v="Wednesday"/>
    <d v="2023-05-10T00:00:00"/>
    <s v="CUST731"/>
    <x v="0"/>
    <n v="54"/>
    <x v="2"/>
    <x v="1"/>
    <n v="4"/>
    <n v="500"/>
    <n v="2000"/>
    <n v="30"/>
  </r>
  <r>
    <n v="732"/>
    <n v="2023"/>
    <n v="2"/>
    <n v="11"/>
    <s v="February"/>
    <s v="Saturday"/>
    <d v="2023-02-11T00:00:00"/>
    <s v="CUST732"/>
    <x v="0"/>
    <n v="61"/>
    <x v="2"/>
    <x v="2"/>
    <n v="2"/>
    <n v="500"/>
    <n v="1000"/>
    <n v="15"/>
  </r>
  <r>
    <n v="733"/>
    <n v="2023"/>
    <n v="8"/>
    <n v="29"/>
    <s v="August"/>
    <s v="Tuesday"/>
    <d v="2023-08-29T00:00:00"/>
    <s v="CUST733"/>
    <x v="0"/>
    <n v="34"/>
    <x v="0"/>
    <x v="0"/>
    <n v="1"/>
    <n v="30"/>
    <n v="30"/>
    <n v="0.44999999999999996"/>
  </r>
  <r>
    <n v="734"/>
    <n v="2023"/>
    <n v="1"/>
    <n v="10"/>
    <s v="January"/>
    <s v="Tuesday"/>
    <d v="2023-01-10T00:00:00"/>
    <s v="CUST734"/>
    <x v="1"/>
    <n v="27"/>
    <x v="1"/>
    <x v="1"/>
    <n v="1"/>
    <n v="30"/>
    <n v="30"/>
    <n v="0.44999999999999996"/>
  </r>
  <r>
    <n v="735"/>
    <n v="2023"/>
    <n v="10"/>
    <n v="4"/>
    <s v="October"/>
    <s v="Wednesday"/>
    <d v="2023-10-04T00:00:00"/>
    <s v="CUST735"/>
    <x v="1"/>
    <n v="64"/>
    <x v="2"/>
    <x v="1"/>
    <n v="4"/>
    <n v="500"/>
    <n v="2000"/>
    <n v="30"/>
  </r>
  <r>
    <n v="736"/>
    <n v="2023"/>
    <n v="1"/>
    <n v="27"/>
    <s v="January"/>
    <s v="Friday"/>
    <d v="2023-01-27T00:00:00"/>
    <s v="CUST736"/>
    <x v="0"/>
    <n v="29"/>
    <x v="1"/>
    <x v="1"/>
    <n v="4"/>
    <n v="25"/>
    <n v="100"/>
    <n v="1.5"/>
  </r>
  <r>
    <n v="737"/>
    <n v="2023"/>
    <n v="6"/>
    <n v="29"/>
    <s v="June"/>
    <s v="Thursday"/>
    <d v="2023-06-29T00:00:00"/>
    <s v="CUST737"/>
    <x v="1"/>
    <n v="33"/>
    <x v="0"/>
    <x v="1"/>
    <n v="1"/>
    <n v="50"/>
    <n v="50"/>
    <n v="0.75"/>
  </r>
  <r>
    <n v="738"/>
    <n v="2023"/>
    <n v="4"/>
    <n v="25"/>
    <s v="April"/>
    <s v="Tuesday"/>
    <d v="2023-04-25T00:00:00"/>
    <s v="CUST738"/>
    <x v="0"/>
    <n v="41"/>
    <x v="0"/>
    <x v="1"/>
    <n v="2"/>
    <n v="50"/>
    <n v="100"/>
    <n v="1.5"/>
  </r>
  <r>
    <n v="739"/>
    <n v="2023"/>
    <n v="11"/>
    <n v="29"/>
    <s v="November"/>
    <s v="Wednesday"/>
    <d v="2023-11-29T00:00:00"/>
    <s v="CUST739"/>
    <x v="0"/>
    <n v="36"/>
    <x v="0"/>
    <x v="0"/>
    <n v="1"/>
    <n v="25"/>
    <n v="25"/>
    <n v="0.375"/>
  </r>
  <r>
    <n v="740"/>
    <n v="2023"/>
    <n v="2"/>
    <n v="5"/>
    <s v="February"/>
    <s v="Sunday"/>
    <d v="2023-02-05T00:00:00"/>
    <s v="CUST740"/>
    <x v="1"/>
    <n v="25"/>
    <x v="1"/>
    <x v="0"/>
    <n v="4"/>
    <n v="50"/>
    <n v="200"/>
    <n v="3"/>
  </r>
  <r>
    <n v="741"/>
    <n v="2023"/>
    <n v="11"/>
    <n v="30"/>
    <s v="November"/>
    <s v="Thursday"/>
    <d v="2023-11-30T00:00:00"/>
    <s v="CUST741"/>
    <x v="0"/>
    <n v="48"/>
    <x v="0"/>
    <x v="1"/>
    <n v="1"/>
    <n v="300"/>
    <n v="300"/>
    <n v="4.5"/>
  </r>
  <r>
    <n v="742"/>
    <n v="2023"/>
    <n v="1"/>
    <n v="21"/>
    <s v="January"/>
    <s v="Saturday"/>
    <d v="2023-01-21T00:00:00"/>
    <s v="CUST742"/>
    <x v="1"/>
    <n v="38"/>
    <x v="0"/>
    <x v="2"/>
    <n v="4"/>
    <n v="500"/>
    <n v="2000"/>
    <n v="30"/>
  </r>
  <r>
    <n v="743"/>
    <n v="2023"/>
    <n v="1"/>
    <n v="16"/>
    <s v="January"/>
    <s v="Monday"/>
    <d v="2023-01-16T00:00:00"/>
    <s v="CUST743"/>
    <x v="1"/>
    <n v="34"/>
    <x v="0"/>
    <x v="0"/>
    <n v="4"/>
    <n v="500"/>
    <n v="2000"/>
    <n v="30"/>
  </r>
  <r>
    <n v="744"/>
    <n v="2023"/>
    <n v="5"/>
    <n v="7"/>
    <s v="May"/>
    <s v="Sunday"/>
    <d v="2023-05-07T00:00:00"/>
    <s v="CUST744"/>
    <x v="0"/>
    <n v="40"/>
    <x v="0"/>
    <x v="2"/>
    <n v="1"/>
    <n v="25"/>
    <n v="25"/>
    <n v="0.375"/>
  </r>
  <r>
    <n v="745"/>
    <n v="2023"/>
    <n v="4"/>
    <n v="13"/>
    <s v="April"/>
    <s v="Thursday"/>
    <d v="2023-04-13T00:00:00"/>
    <s v="CUST745"/>
    <x v="0"/>
    <n v="54"/>
    <x v="2"/>
    <x v="0"/>
    <n v="2"/>
    <n v="50"/>
    <n v="100"/>
    <n v="1.5"/>
  </r>
  <r>
    <n v="746"/>
    <n v="2023"/>
    <n v="1"/>
    <n v="11"/>
    <s v="January"/>
    <s v="Wednesday"/>
    <d v="2023-01-11T00:00:00"/>
    <s v="CUST746"/>
    <x v="1"/>
    <n v="33"/>
    <x v="0"/>
    <x v="1"/>
    <n v="3"/>
    <n v="30"/>
    <n v="90"/>
    <n v="1.3499999999999999"/>
  </r>
  <r>
    <n v="747"/>
    <n v="2023"/>
    <n v="11"/>
    <n v="15"/>
    <s v="November"/>
    <s v="Wednesday"/>
    <d v="2023-11-15T00:00:00"/>
    <s v="CUST747"/>
    <x v="0"/>
    <n v="23"/>
    <x v="1"/>
    <x v="0"/>
    <n v="1"/>
    <n v="30"/>
    <n v="30"/>
    <n v="0.44999999999999996"/>
  </r>
  <r>
    <n v="748"/>
    <n v="2023"/>
    <n v="3"/>
    <n v="20"/>
    <s v="March"/>
    <s v="Monday"/>
    <d v="2023-03-20T00:00:00"/>
    <s v="CUST748"/>
    <x v="0"/>
    <n v="25"/>
    <x v="1"/>
    <x v="1"/>
    <n v="3"/>
    <n v="50"/>
    <n v="150"/>
    <n v="2.25"/>
  </r>
  <r>
    <n v="749"/>
    <n v="2023"/>
    <n v="5"/>
    <n v="3"/>
    <s v="May"/>
    <s v="Wednesday"/>
    <d v="2023-05-03T00:00:00"/>
    <s v="CUST749"/>
    <x v="0"/>
    <n v="42"/>
    <x v="0"/>
    <x v="0"/>
    <n v="1"/>
    <n v="30"/>
    <n v="30"/>
    <n v="0.44999999999999996"/>
  </r>
  <r>
    <n v="750"/>
    <n v="2023"/>
    <n v="3"/>
    <n v="6"/>
    <s v="March"/>
    <s v="Monday"/>
    <d v="2023-03-06T00:00:00"/>
    <s v="CUST750"/>
    <x v="1"/>
    <n v="35"/>
    <x v="0"/>
    <x v="1"/>
    <n v="3"/>
    <n v="25"/>
    <n v="75"/>
    <n v="1.125"/>
  </r>
  <r>
    <n v="751"/>
    <n v="2023"/>
    <n v="8"/>
    <n v="31"/>
    <s v="August"/>
    <s v="Thursday"/>
    <d v="2023-08-31T00:00:00"/>
    <s v="CUST751"/>
    <x v="1"/>
    <n v="42"/>
    <x v="0"/>
    <x v="1"/>
    <n v="2"/>
    <n v="25"/>
    <n v="50"/>
    <n v="0.75"/>
  </r>
  <r>
    <n v="752"/>
    <n v="2023"/>
    <n v="12"/>
    <n v="9"/>
    <s v="December"/>
    <s v="Saturday"/>
    <d v="2023-12-09T00:00:00"/>
    <s v="CUST752"/>
    <x v="0"/>
    <n v="29"/>
    <x v="1"/>
    <x v="1"/>
    <n v="2"/>
    <n v="50"/>
    <n v="100"/>
    <n v="1.5"/>
  </r>
  <r>
    <n v="753"/>
    <n v="2023"/>
    <n v="2"/>
    <n v="28"/>
    <s v="February"/>
    <s v="Tuesday"/>
    <d v="2023-02-28T00:00:00"/>
    <s v="CUST753"/>
    <x v="1"/>
    <n v="32"/>
    <x v="0"/>
    <x v="1"/>
    <n v="1"/>
    <n v="30"/>
    <n v="30"/>
    <n v="0.44999999999999996"/>
  </r>
  <r>
    <n v="754"/>
    <n v="2023"/>
    <n v="10"/>
    <n v="16"/>
    <s v="October"/>
    <s v="Monday"/>
    <d v="2023-10-16T00:00:00"/>
    <s v="CUST754"/>
    <x v="1"/>
    <n v="43"/>
    <x v="0"/>
    <x v="2"/>
    <n v="4"/>
    <n v="25"/>
    <n v="100"/>
    <n v="1.5"/>
  </r>
  <r>
    <n v="755"/>
    <n v="2023"/>
    <n v="4"/>
    <n v="22"/>
    <s v="April"/>
    <s v="Saturday"/>
    <d v="2023-04-22T00:00:00"/>
    <s v="CUST755"/>
    <x v="1"/>
    <n v="58"/>
    <x v="2"/>
    <x v="1"/>
    <n v="3"/>
    <n v="25"/>
    <n v="75"/>
    <n v="1.125"/>
  </r>
  <r>
    <n v="756"/>
    <n v="2023"/>
    <n v="8"/>
    <n v="27"/>
    <s v="August"/>
    <s v="Sunday"/>
    <d v="2023-08-27T00:00:00"/>
    <s v="CUST756"/>
    <x v="1"/>
    <n v="62"/>
    <x v="2"/>
    <x v="2"/>
    <n v="4"/>
    <n v="300"/>
    <n v="1200"/>
    <n v="18"/>
  </r>
  <r>
    <n v="757"/>
    <n v="2023"/>
    <n v="12"/>
    <n v="25"/>
    <s v="December"/>
    <s v="Monday"/>
    <d v="2023-12-25T00:00:00"/>
    <s v="CUST757"/>
    <x v="1"/>
    <n v="43"/>
    <x v="0"/>
    <x v="2"/>
    <n v="4"/>
    <n v="300"/>
    <n v="1200"/>
    <n v="18"/>
  </r>
  <r>
    <n v="758"/>
    <n v="2023"/>
    <n v="5"/>
    <n v="12"/>
    <s v="May"/>
    <s v="Friday"/>
    <d v="2023-05-12T00:00:00"/>
    <s v="CUST758"/>
    <x v="0"/>
    <n v="64"/>
    <x v="2"/>
    <x v="1"/>
    <n v="4"/>
    <n v="25"/>
    <n v="100"/>
    <n v="1.5"/>
  </r>
  <r>
    <n v="759"/>
    <n v="2023"/>
    <n v="7"/>
    <n v="8"/>
    <s v="July"/>
    <s v="Saturday"/>
    <d v="2023-07-08T00:00:00"/>
    <s v="CUST759"/>
    <x v="0"/>
    <n v="49"/>
    <x v="0"/>
    <x v="2"/>
    <n v="2"/>
    <n v="50"/>
    <n v="100"/>
    <n v="1.5"/>
  </r>
  <r>
    <n v="760"/>
    <n v="2023"/>
    <n v="3"/>
    <n v="27"/>
    <s v="March"/>
    <s v="Monday"/>
    <d v="2023-03-27T00:00:00"/>
    <s v="CUST760"/>
    <x v="0"/>
    <n v="27"/>
    <x v="1"/>
    <x v="0"/>
    <n v="1"/>
    <n v="500"/>
    <n v="500"/>
    <n v="7.5"/>
  </r>
  <r>
    <n v="761"/>
    <n v="2023"/>
    <n v="11"/>
    <n v="7"/>
    <s v="November"/>
    <s v="Tuesday"/>
    <d v="2023-11-07T00:00:00"/>
    <s v="CUST761"/>
    <x v="1"/>
    <n v="33"/>
    <x v="0"/>
    <x v="1"/>
    <n v="1"/>
    <n v="500"/>
    <n v="500"/>
    <n v="7.5"/>
  </r>
  <r>
    <n v="762"/>
    <n v="2023"/>
    <n v="11"/>
    <n v="7"/>
    <s v="November"/>
    <s v="Tuesday"/>
    <d v="2023-11-07T00:00:00"/>
    <s v="CUST762"/>
    <x v="1"/>
    <n v="24"/>
    <x v="1"/>
    <x v="2"/>
    <n v="2"/>
    <n v="25"/>
    <n v="50"/>
    <n v="0.75"/>
  </r>
  <r>
    <n v="763"/>
    <n v="2023"/>
    <n v="2"/>
    <n v="28"/>
    <s v="February"/>
    <s v="Tuesday"/>
    <d v="2023-02-28T00:00:00"/>
    <s v="CUST763"/>
    <x v="0"/>
    <n v="34"/>
    <x v="0"/>
    <x v="1"/>
    <n v="2"/>
    <n v="25"/>
    <n v="50"/>
    <n v="0.75"/>
  </r>
  <r>
    <n v="764"/>
    <n v="2023"/>
    <n v="3"/>
    <n v="25"/>
    <s v="March"/>
    <s v="Saturday"/>
    <d v="2023-03-25T00:00:00"/>
    <s v="CUST764"/>
    <x v="1"/>
    <n v="40"/>
    <x v="0"/>
    <x v="1"/>
    <n v="1"/>
    <n v="25"/>
    <n v="25"/>
    <n v="0.375"/>
  </r>
  <r>
    <n v="765"/>
    <n v="2023"/>
    <n v="6"/>
    <n v="9"/>
    <s v="June"/>
    <s v="Friday"/>
    <d v="2023-06-09T00:00:00"/>
    <s v="CUST765"/>
    <x v="0"/>
    <n v="43"/>
    <x v="0"/>
    <x v="1"/>
    <n v="4"/>
    <n v="50"/>
    <n v="200"/>
    <n v="3"/>
  </r>
  <r>
    <n v="766"/>
    <n v="2023"/>
    <n v="2"/>
    <n v="25"/>
    <s v="February"/>
    <s v="Saturday"/>
    <d v="2023-02-25T00:00:00"/>
    <s v="CUST766"/>
    <x v="0"/>
    <n v="38"/>
    <x v="0"/>
    <x v="2"/>
    <n v="3"/>
    <n v="300"/>
    <n v="900"/>
    <n v="13.5"/>
  </r>
  <r>
    <n v="767"/>
    <n v="2023"/>
    <n v="10"/>
    <n v="24"/>
    <s v="October"/>
    <s v="Tuesday"/>
    <d v="2023-10-24T00:00:00"/>
    <s v="CUST767"/>
    <x v="0"/>
    <n v="39"/>
    <x v="0"/>
    <x v="0"/>
    <n v="3"/>
    <n v="25"/>
    <n v="75"/>
    <n v="1.125"/>
  </r>
  <r>
    <n v="768"/>
    <n v="2023"/>
    <n v="1"/>
    <n v="14"/>
    <s v="January"/>
    <s v="Saturday"/>
    <d v="2023-01-14T00:00:00"/>
    <s v="CUST768"/>
    <x v="1"/>
    <n v="24"/>
    <x v="1"/>
    <x v="0"/>
    <n v="3"/>
    <n v="25"/>
    <n v="75"/>
    <n v="1.125"/>
  </r>
  <r>
    <n v="769"/>
    <n v="2023"/>
    <n v="6"/>
    <n v="9"/>
    <s v="June"/>
    <s v="Friday"/>
    <d v="2023-06-09T00:00:00"/>
    <s v="CUST769"/>
    <x v="1"/>
    <n v="31"/>
    <x v="0"/>
    <x v="2"/>
    <n v="4"/>
    <n v="30"/>
    <n v="120"/>
    <n v="1.7999999999999998"/>
  </r>
  <r>
    <n v="770"/>
    <n v="2023"/>
    <n v="10"/>
    <n v="22"/>
    <s v="October"/>
    <s v="Sunday"/>
    <d v="2023-10-22T00:00:00"/>
    <s v="CUST770"/>
    <x v="0"/>
    <n v="32"/>
    <x v="0"/>
    <x v="1"/>
    <n v="1"/>
    <n v="50"/>
    <n v="50"/>
    <n v="0.75"/>
  </r>
  <r>
    <n v="771"/>
    <n v="2023"/>
    <n v="12"/>
    <n v="13"/>
    <s v="December"/>
    <s v="Wednesday"/>
    <d v="2023-12-13T00:00:00"/>
    <s v="CUST771"/>
    <x v="0"/>
    <n v="24"/>
    <x v="1"/>
    <x v="2"/>
    <n v="2"/>
    <n v="25"/>
    <n v="50"/>
    <n v="0.75"/>
  </r>
  <r>
    <n v="772"/>
    <n v="2023"/>
    <n v="7"/>
    <n v="12"/>
    <s v="July"/>
    <s v="Wednesday"/>
    <d v="2023-07-12T00:00:00"/>
    <s v="CUST772"/>
    <x v="0"/>
    <n v="26"/>
    <x v="1"/>
    <x v="2"/>
    <n v="1"/>
    <n v="30"/>
    <n v="30"/>
    <n v="0.44999999999999996"/>
  </r>
  <r>
    <n v="773"/>
    <n v="2023"/>
    <n v="7"/>
    <n v="23"/>
    <s v="July"/>
    <s v="Sunday"/>
    <d v="2023-07-23T00:00:00"/>
    <s v="CUST773"/>
    <x v="0"/>
    <n v="25"/>
    <x v="1"/>
    <x v="2"/>
    <n v="4"/>
    <n v="500"/>
    <n v="2000"/>
    <n v="30"/>
  </r>
  <r>
    <n v="774"/>
    <n v="2023"/>
    <n v="4"/>
    <n v="12"/>
    <s v="April"/>
    <s v="Wednesday"/>
    <d v="2023-04-12T00:00:00"/>
    <s v="CUST774"/>
    <x v="1"/>
    <n v="40"/>
    <x v="0"/>
    <x v="1"/>
    <n v="2"/>
    <n v="25"/>
    <n v="50"/>
    <n v="0.75"/>
  </r>
  <r>
    <n v="775"/>
    <n v="2023"/>
    <n v="2"/>
    <n v="8"/>
    <s v="February"/>
    <s v="Wednesday"/>
    <d v="2023-02-08T00:00:00"/>
    <s v="CUST775"/>
    <x v="1"/>
    <n v="46"/>
    <x v="0"/>
    <x v="2"/>
    <n v="4"/>
    <n v="25"/>
    <n v="100"/>
    <n v="1.5"/>
  </r>
  <r>
    <n v="776"/>
    <n v="2023"/>
    <n v="10"/>
    <n v="31"/>
    <s v="October"/>
    <s v="Tuesday"/>
    <d v="2023-10-31T00:00:00"/>
    <s v="CUST776"/>
    <x v="0"/>
    <n v="35"/>
    <x v="0"/>
    <x v="1"/>
    <n v="3"/>
    <n v="30"/>
    <n v="90"/>
    <n v="1.3499999999999999"/>
  </r>
  <r>
    <n v="777"/>
    <n v="2023"/>
    <n v="12"/>
    <n v="20"/>
    <s v="December"/>
    <s v="Wednesday"/>
    <d v="2023-12-20T00:00:00"/>
    <s v="CUST777"/>
    <x v="0"/>
    <n v="48"/>
    <x v="0"/>
    <x v="2"/>
    <n v="3"/>
    <n v="50"/>
    <n v="150"/>
    <n v="2.25"/>
  </r>
  <r>
    <n v="778"/>
    <n v="2023"/>
    <n v="11"/>
    <n v="18"/>
    <s v="November"/>
    <s v="Saturday"/>
    <d v="2023-11-18T00:00:00"/>
    <s v="CUST778"/>
    <x v="1"/>
    <n v="47"/>
    <x v="0"/>
    <x v="0"/>
    <n v="4"/>
    <n v="25"/>
    <n v="100"/>
    <n v="1.5"/>
  </r>
  <r>
    <n v="779"/>
    <n v="2023"/>
    <n v="5"/>
    <n v="5"/>
    <s v="May"/>
    <s v="Friday"/>
    <d v="2023-05-05T00:00:00"/>
    <s v="CUST779"/>
    <x v="1"/>
    <n v="56"/>
    <x v="2"/>
    <x v="2"/>
    <n v="2"/>
    <n v="500"/>
    <n v="1000"/>
    <n v="15"/>
  </r>
  <r>
    <n v="780"/>
    <n v="2023"/>
    <n v="2"/>
    <n v="22"/>
    <s v="February"/>
    <s v="Wednesday"/>
    <d v="2023-02-22T00:00:00"/>
    <s v="CUST780"/>
    <x v="0"/>
    <n v="52"/>
    <x v="2"/>
    <x v="2"/>
    <n v="2"/>
    <n v="25"/>
    <n v="50"/>
    <n v="0.75"/>
  </r>
  <r>
    <n v="781"/>
    <n v="2023"/>
    <n v="12"/>
    <n v="23"/>
    <s v="December"/>
    <s v="Saturday"/>
    <d v="2023-12-23T00:00:00"/>
    <s v="CUST781"/>
    <x v="0"/>
    <n v="35"/>
    <x v="0"/>
    <x v="0"/>
    <n v="1"/>
    <n v="500"/>
    <n v="500"/>
    <n v="7.5"/>
  </r>
  <r>
    <n v="782"/>
    <n v="2023"/>
    <n v="6"/>
    <n v="4"/>
    <s v="June"/>
    <s v="Sunday"/>
    <d v="2023-06-04T00:00:00"/>
    <s v="CUST782"/>
    <x v="0"/>
    <n v="59"/>
    <x v="2"/>
    <x v="1"/>
    <n v="3"/>
    <n v="300"/>
    <n v="900"/>
    <n v="13.5"/>
  </r>
  <r>
    <n v="783"/>
    <n v="2023"/>
    <n v="12"/>
    <n v="17"/>
    <s v="December"/>
    <s v="Sunday"/>
    <d v="2023-12-17T00:00:00"/>
    <s v="CUST783"/>
    <x v="1"/>
    <n v="56"/>
    <x v="2"/>
    <x v="1"/>
    <n v="1"/>
    <n v="300"/>
    <n v="300"/>
    <n v="4.5"/>
  </r>
  <r>
    <n v="784"/>
    <n v="2023"/>
    <n v="11"/>
    <n v="4"/>
    <s v="November"/>
    <s v="Saturday"/>
    <d v="2023-11-04T00:00:00"/>
    <s v="CUST784"/>
    <x v="1"/>
    <n v="34"/>
    <x v="0"/>
    <x v="2"/>
    <n v="1"/>
    <n v="500"/>
    <n v="500"/>
    <n v="7.5"/>
  </r>
  <r>
    <n v="785"/>
    <n v="2023"/>
    <n v="3"/>
    <n v="3"/>
    <s v="March"/>
    <s v="Friday"/>
    <d v="2023-03-03T00:00:00"/>
    <s v="CUST785"/>
    <x v="1"/>
    <n v="31"/>
    <x v="0"/>
    <x v="0"/>
    <n v="4"/>
    <n v="50"/>
    <n v="200"/>
    <n v="3"/>
  </r>
  <r>
    <n v="786"/>
    <n v="2023"/>
    <n v="10"/>
    <n v="17"/>
    <s v="October"/>
    <s v="Tuesday"/>
    <d v="2023-10-17T00:00:00"/>
    <s v="CUST786"/>
    <x v="0"/>
    <n v="48"/>
    <x v="0"/>
    <x v="1"/>
    <n v="4"/>
    <n v="25"/>
    <n v="100"/>
    <n v="1.5"/>
  </r>
  <r>
    <n v="787"/>
    <n v="2023"/>
    <n v="1"/>
    <n v="22"/>
    <s v="January"/>
    <s v="Sunday"/>
    <d v="2023-01-22T00:00:00"/>
    <s v="CUST787"/>
    <x v="0"/>
    <n v="41"/>
    <x v="0"/>
    <x v="2"/>
    <n v="1"/>
    <n v="25"/>
    <n v="25"/>
    <n v="0.375"/>
  </r>
  <r>
    <n v="788"/>
    <n v="2023"/>
    <n v="6"/>
    <n v="27"/>
    <s v="June"/>
    <s v="Tuesday"/>
    <d v="2023-06-27T00:00:00"/>
    <s v="CUST788"/>
    <x v="1"/>
    <n v="52"/>
    <x v="2"/>
    <x v="0"/>
    <n v="3"/>
    <n v="300"/>
    <n v="900"/>
    <n v="13.5"/>
  </r>
  <r>
    <n v="789"/>
    <n v="2023"/>
    <n v="9"/>
    <n v="30"/>
    <s v="September"/>
    <s v="Saturday"/>
    <d v="2023-09-30T00:00:00"/>
    <s v="CUST789"/>
    <x v="1"/>
    <n v="61"/>
    <x v="2"/>
    <x v="1"/>
    <n v="4"/>
    <n v="500"/>
    <n v="2000"/>
    <n v="30"/>
  </r>
  <r>
    <n v="790"/>
    <n v="2023"/>
    <n v="8"/>
    <n v="8"/>
    <s v="August"/>
    <s v="Tuesday"/>
    <d v="2023-08-08T00:00:00"/>
    <s v="CUST790"/>
    <x v="0"/>
    <n v="62"/>
    <x v="2"/>
    <x v="1"/>
    <n v="1"/>
    <n v="25"/>
    <n v="25"/>
    <n v="0.375"/>
  </r>
  <r>
    <n v="791"/>
    <n v="2023"/>
    <n v="12"/>
    <n v="5"/>
    <s v="December"/>
    <s v="Tuesday"/>
    <d v="2023-12-05T00:00:00"/>
    <s v="CUST791"/>
    <x v="1"/>
    <n v="51"/>
    <x v="2"/>
    <x v="0"/>
    <n v="1"/>
    <n v="25"/>
    <n v="25"/>
    <n v="0.375"/>
  </r>
  <r>
    <n v="792"/>
    <n v="2023"/>
    <n v="7"/>
    <n v="9"/>
    <s v="July"/>
    <s v="Sunday"/>
    <d v="2023-07-09T00:00:00"/>
    <s v="CUST792"/>
    <x v="1"/>
    <n v="20"/>
    <x v="1"/>
    <x v="0"/>
    <n v="1"/>
    <n v="50"/>
    <n v="50"/>
    <n v="0.75"/>
  </r>
  <r>
    <n v="793"/>
    <n v="2023"/>
    <n v="2"/>
    <n v="5"/>
    <s v="February"/>
    <s v="Sunday"/>
    <d v="2023-02-05T00:00:00"/>
    <s v="CUST793"/>
    <x v="0"/>
    <n v="54"/>
    <x v="2"/>
    <x v="0"/>
    <n v="1"/>
    <n v="30"/>
    <n v="30"/>
    <n v="0.44999999999999996"/>
  </r>
  <r>
    <n v="794"/>
    <n v="2023"/>
    <n v="9"/>
    <n v="17"/>
    <s v="September"/>
    <s v="Sunday"/>
    <d v="2023-09-17T00:00:00"/>
    <s v="CUST794"/>
    <x v="1"/>
    <n v="60"/>
    <x v="2"/>
    <x v="0"/>
    <n v="1"/>
    <n v="300"/>
    <n v="300"/>
    <n v="4.5"/>
  </r>
  <r>
    <n v="795"/>
    <n v="2023"/>
    <n v="11"/>
    <n v="28"/>
    <s v="November"/>
    <s v="Tuesday"/>
    <d v="2023-11-28T00:00:00"/>
    <s v="CUST795"/>
    <x v="0"/>
    <n v="57"/>
    <x v="2"/>
    <x v="2"/>
    <n v="1"/>
    <n v="300"/>
    <n v="300"/>
    <n v="4.5"/>
  </r>
  <r>
    <n v="796"/>
    <n v="2023"/>
    <n v="6"/>
    <n v="24"/>
    <s v="June"/>
    <s v="Saturday"/>
    <d v="2023-06-24T00:00:00"/>
    <s v="CUST796"/>
    <x v="0"/>
    <n v="43"/>
    <x v="0"/>
    <x v="0"/>
    <n v="4"/>
    <n v="30"/>
    <n v="120"/>
    <n v="1.7999999999999998"/>
  </r>
  <r>
    <n v="797"/>
    <n v="2023"/>
    <n v="1"/>
    <n v="7"/>
    <s v="January"/>
    <s v="Saturday"/>
    <d v="2023-01-07T00:00:00"/>
    <s v="CUST797"/>
    <x v="0"/>
    <n v="40"/>
    <x v="0"/>
    <x v="1"/>
    <n v="3"/>
    <n v="25"/>
    <n v="75"/>
    <n v="1.125"/>
  </r>
  <r>
    <n v="798"/>
    <n v="2023"/>
    <n v="8"/>
    <n v="4"/>
    <s v="August"/>
    <s v="Friday"/>
    <d v="2023-08-04T00:00:00"/>
    <s v="CUST798"/>
    <x v="0"/>
    <n v="61"/>
    <x v="2"/>
    <x v="1"/>
    <n v="1"/>
    <n v="50"/>
    <n v="50"/>
    <n v="0.75"/>
  </r>
  <r>
    <n v="799"/>
    <n v="2023"/>
    <n v="9"/>
    <n v="8"/>
    <s v="September"/>
    <s v="Friday"/>
    <d v="2023-09-08T00:00:00"/>
    <s v="CUST799"/>
    <x v="0"/>
    <n v="56"/>
    <x v="2"/>
    <x v="2"/>
    <n v="2"/>
    <n v="50"/>
    <n v="100"/>
    <n v="1.5"/>
  </r>
  <r>
    <n v="800"/>
    <n v="2023"/>
    <n v="2"/>
    <n v="24"/>
    <s v="February"/>
    <s v="Friday"/>
    <d v="2023-02-24T00:00:00"/>
    <s v="CUST800"/>
    <x v="0"/>
    <n v="32"/>
    <x v="0"/>
    <x v="1"/>
    <n v="4"/>
    <n v="300"/>
    <n v="1200"/>
    <n v="18"/>
  </r>
  <r>
    <n v="801"/>
    <n v="2023"/>
    <n v="8"/>
    <n v="10"/>
    <s v="August"/>
    <s v="Thursday"/>
    <d v="2023-08-10T00:00:00"/>
    <s v="CUST801"/>
    <x v="0"/>
    <n v="21"/>
    <x v="1"/>
    <x v="1"/>
    <n v="4"/>
    <n v="50"/>
    <n v="200"/>
    <n v="3"/>
  </r>
  <r>
    <n v="802"/>
    <n v="2023"/>
    <n v="7"/>
    <n v="5"/>
    <s v="July"/>
    <s v="Wednesday"/>
    <d v="2023-07-05T00:00:00"/>
    <s v="CUST802"/>
    <x v="1"/>
    <n v="46"/>
    <x v="0"/>
    <x v="0"/>
    <n v="1"/>
    <n v="30"/>
    <n v="30"/>
    <n v="0.44999999999999996"/>
  </r>
  <r>
    <n v="803"/>
    <n v="2023"/>
    <n v="11"/>
    <n v="22"/>
    <s v="November"/>
    <s v="Wednesday"/>
    <d v="2023-11-22T00:00:00"/>
    <s v="CUST803"/>
    <x v="0"/>
    <n v="39"/>
    <x v="0"/>
    <x v="1"/>
    <n v="4"/>
    <n v="25"/>
    <n v="100"/>
    <n v="1.5"/>
  </r>
  <r>
    <n v="804"/>
    <n v="2023"/>
    <n v="8"/>
    <n v="24"/>
    <s v="August"/>
    <s v="Thursday"/>
    <d v="2023-08-24T00:00:00"/>
    <s v="CUST804"/>
    <x v="0"/>
    <n v="42"/>
    <x v="0"/>
    <x v="2"/>
    <n v="1"/>
    <n v="30"/>
    <n v="30"/>
    <n v="0.44999999999999996"/>
  </r>
  <r>
    <n v="805"/>
    <n v="2023"/>
    <n v="12"/>
    <n v="29"/>
    <s v="December"/>
    <s v="Friday"/>
    <d v="2023-12-29T00:00:00"/>
    <s v="CUST805"/>
    <x v="1"/>
    <n v="30"/>
    <x v="0"/>
    <x v="0"/>
    <n v="3"/>
    <n v="500"/>
    <n v="1500"/>
    <n v="22.5"/>
  </r>
  <r>
    <n v="806"/>
    <n v="2023"/>
    <n v="3"/>
    <n v="20"/>
    <s v="March"/>
    <s v="Monday"/>
    <d v="2023-03-20T00:00:00"/>
    <s v="CUST806"/>
    <x v="1"/>
    <n v="35"/>
    <x v="0"/>
    <x v="0"/>
    <n v="3"/>
    <n v="300"/>
    <n v="900"/>
    <n v="13.5"/>
  </r>
  <r>
    <n v="807"/>
    <n v="2023"/>
    <n v="8"/>
    <n v="11"/>
    <s v="August"/>
    <s v="Friday"/>
    <d v="2023-08-11T00:00:00"/>
    <s v="CUST807"/>
    <x v="1"/>
    <n v="50"/>
    <x v="2"/>
    <x v="2"/>
    <n v="4"/>
    <n v="50"/>
    <n v="200"/>
    <n v="3"/>
  </r>
  <r>
    <n v="808"/>
    <n v="2023"/>
    <n v="4"/>
    <n v="1"/>
    <s v="April"/>
    <s v="Saturday"/>
    <d v="2023-04-01T00:00:00"/>
    <s v="CUST808"/>
    <x v="0"/>
    <n v="33"/>
    <x v="0"/>
    <x v="0"/>
    <n v="4"/>
    <n v="500"/>
    <n v="2000"/>
    <n v="30"/>
  </r>
  <r>
    <n v="809"/>
    <n v="2023"/>
    <n v="9"/>
    <n v="25"/>
    <s v="September"/>
    <s v="Monday"/>
    <d v="2023-09-25T00:00:00"/>
    <s v="CUST809"/>
    <x v="1"/>
    <n v="62"/>
    <x v="2"/>
    <x v="0"/>
    <n v="2"/>
    <n v="50"/>
    <n v="100"/>
    <n v="1.5"/>
  </r>
  <r>
    <n v="810"/>
    <n v="2023"/>
    <n v="11"/>
    <n v="30"/>
    <s v="November"/>
    <s v="Thursday"/>
    <d v="2023-11-30T00:00:00"/>
    <s v="CUST810"/>
    <x v="0"/>
    <n v="59"/>
    <x v="2"/>
    <x v="2"/>
    <n v="4"/>
    <n v="25"/>
    <n v="100"/>
    <n v="1.5"/>
  </r>
  <r>
    <n v="811"/>
    <n v="2023"/>
    <n v="5"/>
    <n v="19"/>
    <s v="May"/>
    <s v="Friday"/>
    <d v="2023-05-19T00:00:00"/>
    <s v="CUST811"/>
    <x v="0"/>
    <n v="61"/>
    <x v="2"/>
    <x v="0"/>
    <n v="2"/>
    <n v="25"/>
    <n v="50"/>
    <n v="0.75"/>
  </r>
  <r>
    <n v="812"/>
    <n v="2023"/>
    <n v="11"/>
    <n v="12"/>
    <s v="November"/>
    <s v="Sunday"/>
    <d v="2023-11-12T00:00:00"/>
    <s v="CUST812"/>
    <x v="0"/>
    <n v="19"/>
    <x v="1"/>
    <x v="2"/>
    <n v="3"/>
    <n v="25"/>
    <n v="75"/>
    <n v="1.125"/>
  </r>
  <r>
    <n v="813"/>
    <n v="2023"/>
    <n v="10"/>
    <n v="3"/>
    <s v="October"/>
    <s v="Tuesday"/>
    <d v="2023-10-03T00:00:00"/>
    <s v="CUST813"/>
    <x v="0"/>
    <n v="52"/>
    <x v="2"/>
    <x v="2"/>
    <n v="3"/>
    <n v="50"/>
    <n v="150"/>
    <n v="2.25"/>
  </r>
  <r>
    <n v="814"/>
    <n v="2023"/>
    <n v="9"/>
    <n v="5"/>
    <s v="September"/>
    <s v="Tuesday"/>
    <d v="2023-09-05T00:00:00"/>
    <s v="CUST814"/>
    <x v="1"/>
    <n v="59"/>
    <x v="2"/>
    <x v="1"/>
    <n v="1"/>
    <n v="500"/>
    <n v="500"/>
    <n v="7.5"/>
  </r>
  <r>
    <n v="815"/>
    <n v="2023"/>
    <n v="8"/>
    <n v="27"/>
    <s v="August"/>
    <s v="Sunday"/>
    <d v="2023-08-27T00:00:00"/>
    <s v="CUST815"/>
    <x v="1"/>
    <n v="51"/>
    <x v="2"/>
    <x v="1"/>
    <n v="3"/>
    <n v="25"/>
    <n v="75"/>
    <n v="1.125"/>
  </r>
  <r>
    <n v="816"/>
    <n v="2023"/>
    <n v="8"/>
    <n v="12"/>
    <s v="August"/>
    <s v="Saturday"/>
    <d v="2023-08-12T00:00:00"/>
    <s v="CUST816"/>
    <x v="0"/>
    <n v="47"/>
    <x v="0"/>
    <x v="0"/>
    <n v="2"/>
    <n v="500"/>
    <n v="1000"/>
    <n v="15"/>
  </r>
  <r>
    <n v="817"/>
    <n v="2023"/>
    <n v="10"/>
    <n v="31"/>
    <s v="October"/>
    <s v="Tuesday"/>
    <d v="2023-10-31T00:00:00"/>
    <s v="CUST817"/>
    <x v="0"/>
    <n v="30"/>
    <x v="0"/>
    <x v="0"/>
    <n v="4"/>
    <n v="50"/>
    <n v="200"/>
    <n v="3"/>
  </r>
  <r>
    <n v="818"/>
    <n v="2023"/>
    <n v="5"/>
    <n v="18"/>
    <s v="May"/>
    <s v="Thursday"/>
    <d v="2023-05-18T00:00:00"/>
    <s v="CUST818"/>
    <x v="0"/>
    <n v="30"/>
    <x v="0"/>
    <x v="2"/>
    <n v="1"/>
    <n v="500"/>
    <n v="500"/>
    <n v="7.5"/>
  </r>
  <r>
    <n v="819"/>
    <n v="2023"/>
    <n v="6"/>
    <n v="15"/>
    <s v="June"/>
    <s v="Thursday"/>
    <d v="2023-06-15T00:00:00"/>
    <s v="CUST819"/>
    <x v="1"/>
    <n v="35"/>
    <x v="0"/>
    <x v="0"/>
    <n v="2"/>
    <n v="50"/>
    <n v="100"/>
    <n v="1.5"/>
  </r>
  <r>
    <n v="820"/>
    <n v="2023"/>
    <n v="5"/>
    <n v="6"/>
    <s v="May"/>
    <s v="Saturday"/>
    <d v="2023-05-06T00:00:00"/>
    <s v="CUST820"/>
    <x v="0"/>
    <n v="49"/>
    <x v="0"/>
    <x v="2"/>
    <n v="4"/>
    <n v="50"/>
    <n v="200"/>
    <n v="3"/>
  </r>
  <r>
    <n v="821"/>
    <n v="2023"/>
    <n v="2"/>
    <n v="14"/>
    <s v="February"/>
    <s v="Tuesday"/>
    <d v="2023-02-14T00:00:00"/>
    <s v="CUST821"/>
    <x v="0"/>
    <n v="49"/>
    <x v="0"/>
    <x v="2"/>
    <n v="1"/>
    <n v="300"/>
    <n v="300"/>
    <n v="4.5"/>
  </r>
  <r>
    <n v="822"/>
    <n v="2023"/>
    <n v="5"/>
    <n v="23"/>
    <s v="May"/>
    <s v="Tuesday"/>
    <d v="2023-05-23T00:00:00"/>
    <s v="CUST822"/>
    <x v="1"/>
    <n v="52"/>
    <x v="2"/>
    <x v="0"/>
    <n v="3"/>
    <n v="50"/>
    <n v="150"/>
    <n v="2.25"/>
  </r>
  <r>
    <n v="823"/>
    <n v="2023"/>
    <n v="8"/>
    <n v="19"/>
    <s v="August"/>
    <s v="Saturday"/>
    <d v="2023-08-19T00:00:00"/>
    <s v="CUST823"/>
    <x v="1"/>
    <n v="56"/>
    <x v="2"/>
    <x v="2"/>
    <n v="2"/>
    <n v="50"/>
    <n v="100"/>
    <n v="1.5"/>
  </r>
  <r>
    <n v="824"/>
    <n v="2023"/>
    <n v="5"/>
    <n v="5"/>
    <s v="May"/>
    <s v="Friday"/>
    <d v="2023-05-05T00:00:00"/>
    <s v="CUST824"/>
    <x v="0"/>
    <n v="63"/>
    <x v="2"/>
    <x v="1"/>
    <n v="4"/>
    <n v="30"/>
    <n v="120"/>
    <n v="1.7999999999999998"/>
  </r>
  <r>
    <n v="825"/>
    <n v="2023"/>
    <n v="8"/>
    <n v="26"/>
    <s v="August"/>
    <s v="Saturday"/>
    <d v="2023-08-26T00:00:00"/>
    <s v="CUST825"/>
    <x v="1"/>
    <n v="46"/>
    <x v="0"/>
    <x v="0"/>
    <n v="1"/>
    <n v="25"/>
    <n v="25"/>
    <n v="0.375"/>
  </r>
  <r>
    <n v="826"/>
    <n v="2023"/>
    <n v="10"/>
    <n v="19"/>
    <s v="October"/>
    <s v="Thursday"/>
    <d v="2023-10-19T00:00:00"/>
    <s v="CUST826"/>
    <x v="1"/>
    <n v="46"/>
    <x v="0"/>
    <x v="1"/>
    <n v="1"/>
    <n v="300"/>
    <n v="300"/>
    <n v="4.5"/>
  </r>
  <r>
    <n v="827"/>
    <n v="2023"/>
    <n v="11"/>
    <n v="9"/>
    <s v="November"/>
    <s v="Thursday"/>
    <d v="2023-11-09T00:00:00"/>
    <s v="CUST827"/>
    <x v="0"/>
    <n v="61"/>
    <x v="2"/>
    <x v="0"/>
    <n v="3"/>
    <n v="300"/>
    <n v="900"/>
    <n v="13.5"/>
  </r>
  <r>
    <n v="828"/>
    <n v="2023"/>
    <n v="12"/>
    <n v="9"/>
    <s v="December"/>
    <s v="Saturday"/>
    <d v="2023-12-09T00:00:00"/>
    <s v="CUST828"/>
    <x v="1"/>
    <n v="33"/>
    <x v="0"/>
    <x v="2"/>
    <n v="4"/>
    <n v="300"/>
    <n v="1200"/>
    <n v="18"/>
  </r>
  <r>
    <n v="829"/>
    <n v="2023"/>
    <n v="7"/>
    <n v="14"/>
    <s v="July"/>
    <s v="Friday"/>
    <d v="2023-07-14T00:00:00"/>
    <s v="CUST829"/>
    <x v="0"/>
    <n v="61"/>
    <x v="2"/>
    <x v="0"/>
    <n v="3"/>
    <n v="30"/>
    <n v="90"/>
    <n v="1.3499999999999999"/>
  </r>
  <r>
    <n v="830"/>
    <n v="2023"/>
    <n v="6"/>
    <n v="22"/>
    <s v="June"/>
    <s v="Thursday"/>
    <d v="2023-06-22T00:00:00"/>
    <s v="CUST830"/>
    <x v="1"/>
    <n v="64"/>
    <x v="2"/>
    <x v="1"/>
    <n v="3"/>
    <n v="50"/>
    <n v="150"/>
    <n v="2.25"/>
  </r>
  <r>
    <n v="831"/>
    <n v="2023"/>
    <n v="1"/>
    <n v="15"/>
    <s v="January"/>
    <s v="Sunday"/>
    <d v="2023-01-15T00:00:00"/>
    <s v="CUST831"/>
    <x v="0"/>
    <n v="27"/>
    <x v="1"/>
    <x v="2"/>
    <n v="4"/>
    <n v="25"/>
    <n v="100"/>
    <n v="1.5"/>
  </r>
  <r>
    <n v="832"/>
    <n v="2023"/>
    <n v="9"/>
    <n v="11"/>
    <s v="September"/>
    <s v="Monday"/>
    <d v="2023-09-11T00:00:00"/>
    <s v="CUST832"/>
    <x v="0"/>
    <n v="47"/>
    <x v="0"/>
    <x v="0"/>
    <n v="4"/>
    <n v="500"/>
    <n v="2000"/>
    <n v="30"/>
  </r>
  <r>
    <n v="833"/>
    <n v="2023"/>
    <n v="6"/>
    <n v="16"/>
    <s v="June"/>
    <s v="Friday"/>
    <d v="2023-06-16T00:00:00"/>
    <s v="CUST833"/>
    <x v="0"/>
    <n v="42"/>
    <x v="0"/>
    <x v="0"/>
    <n v="4"/>
    <n v="50"/>
    <n v="200"/>
    <n v="3"/>
  </r>
  <r>
    <n v="834"/>
    <n v="2023"/>
    <n v="4"/>
    <n v="4"/>
    <s v="April"/>
    <s v="Tuesday"/>
    <d v="2023-04-04T00:00:00"/>
    <s v="CUST834"/>
    <x v="1"/>
    <n v="56"/>
    <x v="2"/>
    <x v="0"/>
    <n v="2"/>
    <n v="30"/>
    <n v="60"/>
    <n v="0.89999999999999991"/>
  </r>
  <r>
    <n v="835"/>
    <n v="2023"/>
    <n v="9"/>
    <n v="7"/>
    <s v="September"/>
    <s v="Thursday"/>
    <d v="2023-09-07T00:00:00"/>
    <s v="CUST835"/>
    <x v="0"/>
    <n v="37"/>
    <x v="0"/>
    <x v="1"/>
    <n v="4"/>
    <n v="50"/>
    <n v="200"/>
    <n v="3"/>
  </r>
  <r>
    <n v="836"/>
    <n v="2023"/>
    <n v="4"/>
    <n v="19"/>
    <s v="April"/>
    <s v="Wednesday"/>
    <d v="2023-04-19T00:00:00"/>
    <s v="CUST836"/>
    <x v="1"/>
    <n v="22"/>
    <x v="1"/>
    <x v="1"/>
    <n v="1"/>
    <n v="50"/>
    <n v="50"/>
    <n v="0.75"/>
  </r>
  <r>
    <n v="837"/>
    <n v="2023"/>
    <n v="7"/>
    <n v="1"/>
    <s v="July"/>
    <s v="Saturday"/>
    <d v="2023-07-01T00:00:00"/>
    <s v="CUST837"/>
    <x v="0"/>
    <n v="18"/>
    <x v="1"/>
    <x v="0"/>
    <n v="3"/>
    <n v="30"/>
    <n v="90"/>
    <n v="1.3499999999999999"/>
  </r>
  <r>
    <n v="838"/>
    <n v="2023"/>
    <n v="5"/>
    <n v="13"/>
    <s v="May"/>
    <s v="Saturday"/>
    <d v="2023-05-13T00:00:00"/>
    <s v="CUST838"/>
    <x v="0"/>
    <n v="47"/>
    <x v="0"/>
    <x v="2"/>
    <n v="2"/>
    <n v="300"/>
    <n v="600"/>
    <n v="9"/>
  </r>
  <r>
    <n v="839"/>
    <n v="2023"/>
    <n v="6"/>
    <n v="24"/>
    <s v="June"/>
    <s v="Saturday"/>
    <d v="2023-06-24T00:00:00"/>
    <s v="CUST839"/>
    <x v="1"/>
    <n v="20"/>
    <x v="1"/>
    <x v="2"/>
    <n v="4"/>
    <n v="300"/>
    <n v="1200"/>
    <n v="18"/>
  </r>
  <r>
    <n v="840"/>
    <n v="2023"/>
    <n v="5"/>
    <n v="24"/>
    <s v="May"/>
    <s v="Wednesday"/>
    <d v="2023-05-24T00:00:00"/>
    <s v="CUST840"/>
    <x v="0"/>
    <n v="62"/>
    <x v="2"/>
    <x v="1"/>
    <n v="2"/>
    <n v="25"/>
    <n v="50"/>
    <n v="0.75"/>
  </r>
  <r>
    <n v="841"/>
    <n v="2023"/>
    <n v="11"/>
    <n v="2"/>
    <s v="November"/>
    <s v="Thursday"/>
    <d v="2023-11-02T00:00:00"/>
    <s v="CUST841"/>
    <x v="0"/>
    <n v="31"/>
    <x v="0"/>
    <x v="2"/>
    <n v="4"/>
    <n v="25"/>
    <n v="100"/>
    <n v="1.5"/>
  </r>
  <r>
    <n v="842"/>
    <n v="2023"/>
    <n v="12"/>
    <n v="26"/>
    <s v="December"/>
    <s v="Tuesday"/>
    <d v="2023-12-26T00:00:00"/>
    <s v="CUST842"/>
    <x v="1"/>
    <n v="47"/>
    <x v="0"/>
    <x v="1"/>
    <n v="2"/>
    <n v="300"/>
    <n v="600"/>
    <n v="9"/>
  </r>
  <r>
    <n v="843"/>
    <n v="2023"/>
    <n v="5"/>
    <n v="22"/>
    <s v="May"/>
    <s v="Monday"/>
    <d v="2023-05-22T00:00:00"/>
    <s v="CUST843"/>
    <x v="0"/>
    <n v="21"/>
    <x v="1"/>
    <x v="0"/>
    <n v="3"/>
    <n v="500"/>
    <n v="1500"/>
    <n v="22.5"/>
  </r>
  <r>
    <n v="844"/>
    <n v="2023"/>
    <n v="10"/>
    <n v="12"/>
    <s v="October"/>
    <s v="Thursday"/>
    <d v="2023-10-12T00:00:00"/>
    <s v="CUST844"/>
    <x v="0"/>
    <n v="35"/>
    <x v="0"/>
    <x v="1"/>
    <n v="3"/>
    <n v="50"/>
    <n v="150"/>
    <n v="2.25"/>
  </r>
  <r>
    <n v="845"/>
    <n v="2023"/>
    <n v="1"/>
    <n v="6"/>
    <s v="January"/>
    <s v="Friday"/>
    <d v="2023-01-06T00:00:00"/>
    <s v="CUST845"/>
    <x v="0"/>
    <n v="54"/>
    <x v="2"/>
    <x v="1"/>
    <n v="1"/>
    <n v="500"/>
    <n v="500"/>
    <n v="7.5"/>
  </r>
  <r>
    <n v="846"/>
    <n v="2023"/>
    <n v="9"/>
    <n v="22"/>
    <s v="September"/>
    <s v="Friday"/>
    <d v="2023-09-22T00:00:00"/>
    <s v="CUST846"/>
    <x v="0"/>
    <n v="42"/>
    <x v="0"/>
    <x v="0"/>
    <n v="1"/>
    <n v="50"/>
    <n v="50"/>
    <n v="0.75"/>
  </r>
  <r>
    <n v="847"/>
    <n v="2023"/>
    <n v="4"/>
    <n v="8"/>
    <s v="April"/>
    <s v="Saturday"/>
    <d v="2023-04-08T00:00:00"/>
    <s v="CUST847"/>
    <x v="1"/>
    <n v="18"/>
    <x v="1"/>
    <x v="2"/>
    <n v="4"/>
    <n v="300"/>
    <n v="1200"/>
    <n v="18"/>
  </r>
  <r>
    <n v="848"/>
    <n v="2023"/>
    <n v="2"/>
    <n v="13"/>
    <s v="February"/>
    <s v="Monday"/>
    <d v="2023-02-13T00:00:00"/>
    <s v="CUST848"/>
    <x v="1"/>
    <n v="63"/>
    <x v="2"/>
    <x v="1"/>
    <n v="3"/>
    <n v="25"/>
    <n v="75"/>
    <n v="1.125"/>
  </r>
  <r>
    <n v="849"/>
    <n v="2023"/>
    <n v="5"/>
    <n v="4"/>
    <s v="May"/>
    <s v="Thursday"/>
    <d v="2023-05-04T00:00:00"/>
    <s v="CUST849"/>
    <x v="0"/>
    <n v="32"/>
    <x v="0"/>
    <x v="1"/>
    <n v="2"/>
    <n v="25"/>
    <n v="50"/>
    <n v="0.75"/>
  </r>
  <r>
    <n v="850"/>
    <n v="2023"/>
    <n v="7"/>
    <n v="28"/>
    <s v="July"/>
    <s v="Friday"/>
    <d v="2023-07-28T00:00:00"/>
    <s v="CUST850"/>
    <x v="1"/>
    <n v="26"/>
    <x v="1"/>
    <x v="0"/>
    <n v="2"/>
    <n v="500"/>
    <n v="1000"/>
    <n v="15"/>
  </r>
  <r>
    <n v="851"/>
    <n v="2023"/>
    <n v="9"/>
    <n v="8"/>
    <s v="September"/>
    <s v="Friday"/>
    <d v="2023-09-08T00:00:00"/>
    <s v="CUST851"/>
    <x v="0"/>
    <n v="32"/>
    <x v="0"/>
    <x v="2"/>
    <n v="2"/>
    <n v="25"/>
    <n v="50"/>
    <n v="0.75"/>
  </r>
  <r>
    <n v="852"/>
    <n v="2023"/>
    <n v="10"/>
    <n v="12"/>
    <s v="October"/>
    <s v="Thursday"/>
    <d v="2023-10-12T00:00:00"/>
    <s v="CUST852"/>
    <x v="1"/>
    <n v="41"/>
    <x v="0"/>
    <x v="1"/>
    <n v="1"/>
    <n v="300"/>
    <n v="300"/>
    <n v="4.5"/>
  </r>
  <r>
    <n v="853"/>
    <n v="2023"/>
    <n v="5"/>
    <n v="4"/>
    <s v="May"/>
    <s v="Thursday"/>
    <d v="2023-05-04T00:00:00"/>
    <s v="CUST853"/>
    <x v="0"/>
    <n v="21"/>
    <x v="1"/>
    <x v="0"/>
    <n v="2"/>
    <n v="500"/>
    <n v="1000"/>
    <n v="15"/>
  </r>
  <r>
    <n v="854"/>
    <n v="2023"/>
    <n v="12"/>
    <n v="20"/>
    <s v="December"/>
    <s v="Wednesday"/>
    <d v="2023-12-20T00:00:00"/>
    <s v="CUST854"/>
    <x v="0"/>
    <n v="29"/>
    <x v="1"/>
    <x v="1"/>
    <n v="1"/>
    <n v="50"/>
    <n v="50"/>
    <n v="0.75"/>
  </r>
  <r>
    <n v="855"/>
    <n v="2023"/>
    <n v="9"/>
    <n v="1"/>
    <s v="September"/>
    <s v="Friday"/>
    <d v="2023-09-01T00:00:00"/>
    <s v="CUST855"/>
    <x v="0"/>
    <n v="54"/>
    <x v="2"/>
    <x v="0"/>
    <n v="1"/>
    <n v="25"/>
    <n v="25"/>
    <n v="0.375"/>
  </r>
  <r>
    <n v="856"/>
    <n v="2023"/>
    <n v="11"/>
    <n v="27"/>
    <s v="November"/>
    <s v="Monday"/>
    <d v="2023-11-27T00:00:00"/>
    <s v="CUST856"/>
    <x v="0"/>
    <n v="54"/>
    <x v="2"/>
    <x v="2"/>
    <n v="4"/>
    <n v="30"/>
    <n v="120"/>
    <n v="1.7999999999999998"/>
  </r>
  <r>
    <n v="857"/>
    <n v="2023"/>
    <n v="12"/>
    <n v="31"/>
    <s v="December"/>
    <s v="Sunday"/>
    <d v="2023-12-31T00:00:00"/>
    <s v="CUST857"/>
    <x v="0"/>
    <n v="60"/>
    <x v="2"/>
    <x v="2"/>
    <n v="2"/>
    <n v="25"/>
    <n v="50"/>
    <n v="0.75"/>
  </r>
  <r>
    <n v="858"/>
    <n v="2023"/>
    <n v="9"/>
    <n v="9"/>
    <s v="September"/>
    <s v="Saturday"/>
    <d v="2023-09-09T00:00:00"/>
    <s v="CUST858"/>
    <x v="0"/>
    <n v="23"/>
    <x v="1"/>
    <x v="2"/>
    <n v="2"/>
    <n v="50"/>
    <n v="100"/>
    <n v="1.5"/>
  </r>
  <r>
    <n v="859"/>
    <n v="2023"/>
    <n v="8"/>
    <n v="18"/>
    <s v="August"/>
    <s v="Friday"/>
    <d v="2023-08-18T00:00:00"/>
    <s v="CUST859"/>
    <x v="1"/>
    <n v="56"/>
    <x v="2"/>
    <x v="2"/>
    <n v="3"/>
    <n v="500"/>
    <n v="1500"/>
    <n v="22.5"/>
  </r>
  <r>
    <n v="860"/>
    <n v="2023"/>
    <n v="1"/>
    <n v="9"/>
    <s v="January"/>
    <s v="Monday"/>
    <d v="2023-01-09T00:00:00"/>
    <s v="CUST860"/>
    <x v="0"/>
    <n v="63"/>
    <x v="2"/>
    <x v="1"/>
    <n v="4"/>
    <n v="50"/>
    <n v="200"/>
    <n v="3"/>
  </r>
  <r>
    <n v="861"/>
    <n v="2023"/>
    <n v="2"/>
    <n v="17"/>
    <s v="February"/>
    <s v="Friday"/>
    <d v="2023-02-17T00:00:00"/>
    <s v="CUST861"/>
    <x v="1"/>
    <n v="41"/>
    <x v="0"/>
    <x v="1"/>
    <n v="3"/>
    <n v="30"/>
    <n v="90"/>
    <n v="1.3499999999999999"/>
  </r>
  <r>
    <n v="862"/>
    <n v="2023"/>
    <n v="5"/>
    <n v="31"/>
    <s v="May"/>
    <s v="Wednesday"/>
    <d v="2023-05-31T00:00:00"/>
    <s v="CUST862"/>
    <x v="0"/>
    <n v="28"/>
    <x v="1"/>
    <x v="2"/>
    <n v="4"/>
    <n v="300"/>
    <n v="1200"/>
    <n v="18"/>
  </r>
  <r>
    <n v="863"/>
    <n v="2023"/>
    <n v="4"/>
    <n v="24"/>
    <s v="April"/>
    <s v="Monday"/>
    <d v="2023-04-24T00:00:00"/>
    <s v="CUST863"/>
    <x v="1"/>
    <n v="30"/>
    <x v="0"/>
    <x v="2"/>
    <n v="2"/>
    <n v="25"/>
    <n v="50"/>
    <n v="0.75"/>
  </r>
  <r>
    <n v="864"/>
    <n v="2023"/>
    <n v="7"/>
    <n v="27"/>
    <s v="July"/>
    <s v="Thursday"/>
    <d v="2023-07-27T00:00:00"/>
    <s v="CUST864"/>
    <x v="1"/>
    <n v="51"/>
    <x v="2"/>
    <x v="2"/>
    <n v="1"/>
    <n v="500"/>
    <n v="500"/>
    <n v="7.5"/>
  </r>
  <r>
    <n v="865"/>
    <n v="2023"/>
    <n v="12"/>
    <n v="21"/>
    <s v="December"/>
    <s v="Thursday"/>
    <d v="2023-12-21T00:00:00"/>
    <s v="CUST865"/>
    <x v="1"/>
    <n v="42"/>
    <x v="0"/>
    <x v="1"/>
    <n v="1"/>
    <n v="300"/>
    <n v="300"/>
    <n v="4.5"/>
  </r>
  <r>
    <n v="866"/>
    <n v="2023"/>
    <n v="5"/>
    <n v="5"/>
    <s v="May"/>
    <s v="Friday"/>
    <d v="2023-05-05T00:00:00"/>
    <s v="CUST866"/>
    <x v="0"/>
    <n v="24"/>
    <x v="1"/>
    <x v="2"/>
    <n v="1"/>
    <n v="50"/>
    <n v="50"/>
    <n v="0.75"/>
  </r>
  <r>
    <n v="867"/>
    <n v="2023"/>
    <n v="6"/>
    <n v="6"/>
    <s v="June"/>
    <s v="Tuesday"/>
    <d v="2023-06-06T00:00:00"/>
    <s v="CUST867"/>
    <x v="0"/>
    <n v="21"/>
    <x v="1"/>
    <x v="2"/>
    <n v="1"/>
    <n v="500"/>
    <n v="500"/>
    <n v="7.5"/>
  </r>
  <r>
    <n v="868"/>
    <n v="2023"/>
    <n v="12"/>
    <n v="6"/>
    <s v="December"/>
    <s v="Wednesday"/>
    <d v="2023-12-06T00:00:00"/>
    <s v="CUST868"/>
    <x v="1"/>
    <n v="25"/>
    <x v="1"/>
    <x v="2"/>
    <n v="1"/>
    <n v="300"/>
    <n v="300"/>
    <n v="4.5"/>
  </r>
  <r>
    <n v="869"/>
    <n v="2023"/>
    <n v="10"/>
    <n v="25"/>
    <s v="October"/>
    <s v="Wednesday"/>
    <d v="2023-10-25T00:00:00"/>
    <s v="CUST869"/>
    <x v="0"/>
    <n v="37"/>
    <x v="0"/>
    <x v="0"/>
    <n v="3"/>
    <n v="500"/>
    <n v="1500"/>
    <n v="22.5"/>
  </r>
  <r>
    <n v="870"/>
    <n v="2023"/>
    <n v="7"/>
    <n v="8"/>
    <s v="July"/>
    <s v="Saturday"/>
    <d v="2023-07-08T00:00:00"/>
    <s v="CUST870"/>
    <x v="1"/>
    <n v="46"/>
    <x v="0"/>
    <x v="2"/>
    <n v="4"/>
    <n v="30"/>
    <n v="120"/>
    <n v="1.7999999999999998"/>
  </r>
  <r>
    <n v="871"/>
    <n v="2023"/>
    <n v="8"/>
    <n v="31"/>
    <s v="August"/>
    <s v="Thursday"/>
    <d v="2023-08-31T00:00:00"/>
    <s v="CUST871"/>
    <x v="0"/>
    <n v="62"/>
    <x v="2"/>
    <x v="0"/>
    <n v="2"/>
    <n v="30"/>
    <n v="60"/>
    <n v="0.89999999999999991"/>
  </r>
  <r>
    <n v="872"/>
    <n v="2023"/>
    <n v="10"/>
    <n v="11"/>
    <s v="October"/>
    <s v="Wednesday"/>
    <d v="2023-10-11T00:00:00"/>
    <s v="CUST872"/>
    <x v="1"/>
    <n v="63"/>
    <x v="2"/>
    <x v="0"/>
    <n v="3"/>
    <n v="25"/>
    <n v="75"/>
    <n v="1.125"/>
  </r>
  <r>
    <n v="873"/>
    <n v="2023"/>
    <n v="9"/>
    <n v="29"/>
    <s v="September"/>
    <s v="Friday"/>
    <d v="2023-09-29T00:00:00"/>
    <s v="CUST873"/>
    <x v="1"/>
    <n v="27"/>
    <x v="1"/>
    <x v="2"/>
    <n v="4"/>
    <n v="25"/>
    <n v="100"/>
    <n v="1.5"/>
  </r>
  <r>
    <n v="874"/>
    <n v="2023"/>
    <n v="6"/>
    <n v="26"/>
    <s v="June"/>
    <s v="Monday"/>
    <d v="2023-06-26T00:00:00"/>
    <s v="CUST874"/>
    <x v="0"/>
    <n v="60"/>
    <x v="2"/>
    <x v="0"/>
    <n v="1"/>
    <n v="30"/>
    <n v="30"/>
    <n v="0.44999999999999996"/>
  </r>
  <r>
    <n v="875"/>
    <n v="2023"/>
    <n v="8"/>
    <n v="6"/>
    <s v="August"/>
    <s v="Sunday"/>
    <d v="2023-08-06T00:00:00"/>
    <s v="CUST875"/>
    <x v="1"/>
    <n v="51"/>
    <x v="2"/>
    <x v="2"/>
    <n v="4"/>
    <n v="500"/>
    <n v="2000"/>
    <n v="30"/>
  </r>
  <r>
    <n v="876"/>
    <n v="2023"/>
    <n v="10"/>
    <n v="9"/>
    <s v="October"/>
    <s v="Monday"/>
    <d v="2023-10-09T00:00:00"/>
    <s v="CUST876"/>
    <x v="0"/>
    <n v="43"/>
    <x v="0"/>
    <x v="1"/>
    <n v="4"/>
    <n v="30"/>
    <n v="120"/>
    <n v="1.7999999999999998"/>
  </r>
  <r>
    <n v="877"/>
    <n v="2023"/>
    <n v="6"/>
    <n v="19"/>
    <s v="June"/>
    <s v="Monday"/>
    <d v="2023-06-19T00:00:00"/>
    <s v="CUST877"/>
    <x v="1"/>
    <n v="58"/>
    <x v="2"/>
    <x v="1"/>
    <n v="1"/>
    <n v="25"/>
    <n v="25"/>
    <n v="0.375"/>
  </r>
  <r>
    <n v="878"/>
    <n v="2023"/>
    <n v="6"/>
    <n v="30"/>
    <s v="June"/>
    <s v="Friday"/>
    <d v="2023-06-30T00:00:00"/>
    <s v="CUST878"/>
    <x v="1"/>
    <n v="20"/>
    <x v="1"/>
    <x v="1"/>
    <n v="1"/>
    <n v="30"/>
    <n v="30"/>
    <n v="0.44999999999999996"/>
  </r>
  <r>
    <n v="879"/>
    <n v="2023"/>
    <n v="12"/>
    <n v="26"/>
    <s v="December"/>
    <s v="Tuesday"/>
    <d v="2023-12-26T00:00:00"/>
    <s v="CUST879"/>
    <x v="0"/>
    <n v="23"/>
    <x v="1"/>
    <x v="1"/>
    <n v="1"/>
    <n v="30"/>
    <n v="30"/>
    <n v="0.44999999999999996"/>
  </r>
  <r>
    <n v="880"/>
    <n v="2023"/>
    <n v="8"/>
    <n v="21"/>
    <s v="August"/>
    <s v="Monday"/>
    <d v="2023-08-21T00:00:00"/>
    <s v="CUST880"/>
    <x v="0"/>
    <n v="22"/>
    <x v="1"/>
    <x v="0"/>
    <n v="2"/>
    <n v="500"/>
    <n v="1000"/>
    <n v="15"/>
  </r>
  <r>
    <n v="881"/>
    <n v="2023"/>
    <n v="5"/>
    <n v="19"/>
    <s v="May"/>
    <s v="Friday"/>
    <d v="2023-05-19T00:00:00"/>
    <s v="CUST881"/>
    <x v="0"/>
    <n v="22"/>
    <x v="1"/>
    <x v="2"/>
    <n v="1"/>
    <n v="300"/>
    <n v="300"/>
    <n v="4.5"/>
  </r>
  <r>
    <n v="882"/>
    <n v="2023"/>
    <n v="6"/>
    <n v="6"/>
    <s v="June"/>
    <s v="Tuesday"/>
    <d v="2023-06-06T00:00:00"/>
    <s v="CUST882"/>
    <x v="1"/>
    <n v="64"/>
    <x v="2"/>
    <x v="2"/>
    <n v="2"/>
    <n v="25"/>
    <n v="50"/>
    <n v="0.75"/>
  </r>
  <r>
    <n v="883"/>
    <n v="2023"/>
    <n v="5"/>
    <n v="9"/>
    <s v="May"/>
    <s v="Tuesday"/>
    <d v="2023-05-09T00:00:00"/>
    <s v="CUST883"/>
    <x v="0"/>
    <n v="40"/>
    <x v="0"/>
    <x v="2"/>
    <n v="1"/>
    <n v="500"/>
    <n v="500"/>
    <n v="7.5"/>
  </r>
  <r>
    <n v="884"/>
    <n v="2023"/>
    <n v="4"/>
    <n v="29"/>
    <s v="April"/>
    <s v="Saturday"/>
    <d v="2023-04-29T00:00:00"/>
    <s v="CUST884"/>
    <x v="1"/>
    <n v="26"/>
    <x v="1"/>
    <x v="1"/>
    <n v="2"/>
    <n v="30"/>
    <n v="60"/>
    <n v="0.89999999999999991"/>
  </r>
  <r>
    <n v="885"/>
    <n v="2023"/>
    <n v="3"/>
    <n v="3"/>
    <s v="March"/>
    <s v="Friday"/>
    <d v="2023-03-03T00:00:00"/>
    <s v="CUST885"/>
    <x v="1"/>
    <n v="52"/>
    <x v="2"/>
    <x v="1"/>
    <n v="4"/>
    <n v="30"/>
    <n v="120"/>
    <n v="1.7999999999999998"/>
  </r>
  <r>
    <n v="886"/>
    <n v="2023"/>
    <n v="4"/>
    <n v="9"/>
    <s v="April"/>
    <s v="Sunday"/>
    <d v="2023-04-09T00:00:00"/>
    <s v="CUST886"/>
    <x v="0"/>
    <n v="37"/>
    <x v="0"/>
    <x v="2"/>
    <n v="3"/>
    <n v="300"/>
    <n v="900"/>
    <n v="13.5"/>
  </r>
  <r>
    <n v="887"/>
    <n v="2023"/>
    <n v="6"/>
    <n v="11"/>
    <s v="June"/>
    <s v="Sunday"/>
    <d v="2023-06-11T00:00:00"/>
    <s v="CUST887"/>
    <x v="0"/>
    <n v="59"/>
    <x v="2"/>
    <x v="1"/>
    <n v="4"/>
    <n v="25"/>
    <n v="100"/>
    <n v="1.5"/>
  </r>
  <r>
    <n v="888"/>
    <n v="2023"/>
    <n v="3"/>
    <n v="3"/>
    <s v="March"/>
    <s v="Friday"/>
    <d v="2023-03-03T00:00:00"/>
    <s v="CUST888"/>
    <x v="1"/>
    <n v="52"/>
    <x v="2"/>
    <x v="2"/>
    <n v="4"/>
    <n v="25"/>
    <n v="100"/>
    <n v="1.5"/>
  </r>
  <r>
    <n v="889"/>
    <n v="2023"/>
    <n v="10"/>
    <n v="2"/>
    <s v="October"/>
    <s v="Monday"/>
    <d v="2023-10-02T00:00:00"/>
    <s v="CUST889"/>
    <x v="1"/>
    <n v="35"/>
    <x v="0"/>
    <x v="2"/>
    <n v="1"/>
    <n v="50"/>
    <n v="50"/>
    <n v="0.75"/>
  </r>
  <r>
    <n v="890"/>
    <n v="2023"/>
    <n v="12"/>
    <n v="20"/>
    <s v="December"/>
    <s v="Wednesday"/>
    <d v="2023-12-20T00:00:00"/>
    <s v="CUST890"/>
    <x v="0"/>
    <n v="34"/>
    <x v="0"/>
    <x v="2"/>
    <n v="2"/>
    <n v="25"/>
    <n v="50"/>
    <n v="0.75"/>
  </r>
  <r>
    <n v="891"/>
    <n v="2023"/>
    <n v="4"/>
    <n v="5"/>
    <s v="April"/>
    <s v="Wednesday"/>
    <d v="2023-04-05T00:00:00"/>
    <s v="CUST891"/>
    <x v="0"/>
    <n v="41"/>
    <x v="0"/>
    <x v="2"/>
    <n v="3"/>
    <n v="300"/>
    <n v="900"/>
    <n v="13.5"/>
  </r>
  <r>
    <n v="892"/>
    <n v="2023"/>
    <n v="4"/>
    <n v="9"/>
    <s v="April"/>
    <s v="Sunday"/>
    <d v="2023-04-09T00:00:00"/>
    <s v="CUST892"/>
    <x v="0"/>
    <n v="20"/>
    <x v="1"/>
    <x v="2"/>
    <n v="1"/>
    <n v="50"/>
    <n v="50"/>
    <n v="0.75"/>
  </r>
  <r>
    <n v="893"/>
    <n v="2023"/>
    <n v="4"/>
    <n v="21"/>
    <s v="April"/>
    <s v="Friday"/>
    <d v="2023-04-21T00:00:00"/>
    <s v="CUST893"/>
    <x v="0"/>
    <n v="49"/>
    <x v="0"/>
    <x v="2"/>
    <n v="1"/>
    <n v="50"/>
    <n v="50"/>
    <n v="0.75"/>
  </r>
  <r>
    <n v="894"/>
    <n v="2023"/>
    <n v="9"/>
    <n v="5"/>
    <s v="September"/>
    <s v="Tuesday"/>
    <d v="2023-09-05T00:00:00"/>
    <s v="CUST894"/>
    <x v="0"/>
    <n v="52"/>
    <x v="2"/>
    <x v="2"/>
    <n v="1"/>
    <n v="30"/>
    <n v="30"/>
    <n v="0.44999999999999996"/>
  </r>
  <r>
    <n v="895"/>
    <n v="2023"/>
    <n v="5"/>
    <n v="22"/>
    <s v="May"/>
    <s v="Monday"/>
    <d v="2023-05-22T00:00:00"/>
    <s v="CUST895"/>
    <x v="1"/>
    <n v="55"/>
    <x v="2"/>
    <x v="1"/>
    <n v="4"/>
    <n v="30"/>
    <n v="120"/>
    <n v="1.7999999999999998"/>
  </r>
  <r>
    <n v="896"/>
    <n v="2023"/>
    <n v="10"/>
    <n v="29"/>
    <s v="October"/>
    <s v="Sunday"/>
    <d v="2023-10-29T00:00:00"/>
    <s v="CUST896"/>
    <x v="1"/>
    <n v="30"/>
    <x v="0"/>
    <x v="2"/>
    <n v="2"/>
    <n v="25"/>
    <n v="50"/>
    <n v="0.75"/>
  </r>
  <r>
    <n v="897"/>
    <n v="2023"/>
    <n v="9"/>
    <n v="26"/>
    <s v="September"/>
    <s v="Tuesday"/>
    <d v="2023-09-26T00:00:00"/>
    <s v="CUST897"/>
    <x v="1"/>
    <n v="64"/>
    <x v="2"/>
    <x v="2"/>
    <n v="2"/>
    <n v="50"/>
    <n v="100"/>
    <n v="1.5"/>
  </r>
  <r>
    <n v="898"/>
    <n v="2023"/>
    <n v="11"/>
    <n v="2"/>
    <s v="November"/>
    <s v="Thursday"/>
    <d v="2023-11-02T00:00:00"/>
    <s v="CUST898"/>
    <x v="1"/>
    <n v="42"/>
    <x v="0"/>
    <x v="1"/>
    <n v="3"/>
    <n v="30"/>
    <n v="90"/>
    <n v="1.3499999999999999"/>
  </r>
  <r>
    <n v="899"/>
    <n v="2023"/>
    <n v="5"/>
    <n v="25"/>
    <s v="May"/>
    <s v="Thursday"/>
    <d v="2023-05-25T00:00:00"/>
    <s v="CUST899"/>
    <x v="0"/>
    <n v="26"/>
    <x v="1"/>
    <x v="1"/>
    <n v="2"/>
    <n v="300"/>
    <n v="600"/>
    <n v="9"/>
  </r>
  <r>
    <n v="900"/>
    <n v="2023"/>
    <n v="2"/>
    <n v="21"/>
    <s v="February"/>
    <s v="Tuesday"/>
    <d v="2023-02-21T00:00:00"/>
    <s v="CUST900"/>
    <x v="0"/>
    <n v="21"/>
    <x v="1"/>
    <x v="1"/>
    <n v="2"/>
    <n v="30"/>
    <n v="60"/>
    <n v="0.89999999999999991"/>
  </r>
  <r>
    <n v="901"/>
    <n v="2023"/>
    <n v="4"/>
    <n v="10"/>
    <s v="April"/>
    <s v="Monday"/>
    <d v="2023-04-10T00:00:00"/>
    <s v="CUST901"/>
    <x v="0"/>
    <n v="31"/>
    <x v="0"/>
    <x v="2"/>
    <n v="1"/>
    <n v="30"/>
    <n v="30"/>
    <n v="0.44999999999999996"/>
  </r>
  <r>
    <n v="902"/>
    <n v="2023"/>
    <n v="6"/>
    <n v="1"/>
    <s v="June"/>
    <s v="Thursday"/>
    <d v="2023-06-01T00:00:00"/>
    <s v="CUST902"/>
    <x v="1"/>
    <n v="54"/>
    <x v="2"/>
    <x v="0"/>
    <n v="1"/>
    <n v="50"/>
    <n v="50"/>
    <n v="0.75"/>
  </r>
  <r>
    <n v="903"/>
    <n v="2023"/>
    <n v="4"/>
    <n v="27"/>
    <s v="April"/>
    <s v="Thursday"/>
    <d v="2023-04-27T00:00:00"/>
    <s v="CUST903"/>
    <x v="1"/>
    <n v="51"/>
    <x v="2"/>
    <x v="0"/>
    <n v="4"/>
    <n v="50"/>
    <n v="200"/>
    <n v="3"/>
  </r>
  <r>
    <n v="904"/>
    <n v="2023"/>
    <n v="7"/>
    <n v="4"/>
    <s v="July"/>
    <s v="Tuesday"/>
    <d v="2023-07-04T00:00:00"/>
    <s v="CUST904"/>
    <x v="0"/>
    <n v="28"/>
    <x v="1"/>
    <x v="1"/>
    <n v="1"/>
    <n v="500"/>
    <n v="500"/>
    <n v="7.5"/>
  </r>
  <r>
    <n v="905"/>
    <n v="2023"/>
    <n v="4"/>
    <n v="2"/>
    <s v="April"/>
    <s v="Sunday"/>
    <d v="2023-04-02T00:00:00"/>
    <s v="CUST905"/>
    <x v="0"/>
    <n v="58"/>
    <x v="2"/>
    <x v="0"/>
    <n v="1"/>
    <n v="300"/>
    <n v="300"/>
    <n v="4.5"/>
  </r>
  <r>
    <n v="906"/>
    <n v="2023"/>
    <n v="6"/>
    <n v="4"/>
    <s v="June"/>
    <s v="Sunday"/>
    <d v="2023-06-04T00:00:00"/>
    <s v="CUST906"/>
    <x v="1"/>
    <n v="20"/>
    <x v="1"/>
    <x v="1"/>
    <n v="1"/>
    <n v="50"/>
    <n v="50"/>
    <n v="0.75"/>
  </r>
  <r>
    <n v="907"/>
    <n v="2023"/>
    <n v="1"/>
    <n v="8"/>
    <s v="January"/>
    <s v="Sunday"/>
    <d v="2023-01-08T00:00:00"/>
    <s v="CUST907"/>
    <x v="1"/>
    <n v="45"/>
    <x v="0"/>
    <x v="2"/>
    <n v="1"/>
    <n v="25"/>
    <n v="25"/>
    <n v="0.375"/>
  </r>
  <r>
    <n v="908"/>
    <n v="2023"/>
    <n v="12"/>
    <n v="29"/>
    <s v="December"/>
    <s v="Friday"/>
    <d v="2023-12-29T00:00:00"/>
    <s v="CUST908"/>
    <x v="0"/>
    <n v="46"/>
    <x v="0"/>
    <x v="0"/>
    <n v="4"/>
    <n v="300"/>
    <n v="1200"/>
    <n v="18"/>
  </r>
  <r>
    <n v="909"/>
    <n v="2023"/>
    <n v="10"/>
    <n v="1"/>
    <s v="October"/>
    <s v="Sunday"/>
    <d v="2023-10-01T00:00:00"/>
    <s v="CUST909"/>
    <x v="0"/>
    <n v="26"/>
    <x v="1"/>
    <x v="2"/>
    <n v="1"/>
    <n v="300"/>
    <n v="300"/>
    <n v="4.5"/>
  </r>
  <r>
    <n v="910"/>
    <n v="2023"/>
    <n v="3"/>
    <n v="6"/>
    <s v="March"/>
    <s v="Monday"/>
    <d v="2023-03-06T00:00:00"/>
    <s v="CUST910"/>
    <x v="1"/>
    <n v="20"/>
    <x v="1"/>
    <x v="0"/>
    <n v="3"/>
    <n v="50"/>
    <n v="150"/>
    <n v="2.25"/>
  </r>
  <r>
    <n v="911"/>
    <n v="2023"/>
    <n v="5"/>
    <n v="21"/>
    <s v="May"/>
    <s v="Sunday"/>
    <d v="2023-05-21T00:00:00"/>
    <s v="CUST911"/>
    <x v="0"/>
    <n v="42"/>
    <x v="0"/>
    <x v="2"/>
    <n v="3"/>
    <n v="300"/>
    <n v="900"/>
    <n v="13.5"/>
  </r>
  <r>
    <n v="912"/>
    <n v="2023"/>
    <n v="1"/>
    <n v="24"/>
    <s v="January"/>
    <s v="Tuesday"/>
    <d v="2023-01-24T00:00:00"/>
    <s v="CUST912"/>
    <x v="0"/>
    <n v="51"/>
    <x v="2"/>
    <x v="0"/>
    <n v="3"/>
    <n v="50"/>
    <n v="150"/>
    <n v="2.25"/>
  </r>
  <r>
    <n v="913"/>
    <n v="2023"/>
    <n v="1"/>
    <n v="28"/>
    <s v="January"/>
    <s v="Saturday"/>
    <d v="2023-01-28T00:00:00"/>
    <s v="CUST913"/>
    <x v="0"/>
    <n v="29"/>
    <x v="1"/>
    <x v="2"/>
    <n v="3"/>
    <n v="30"/>
    <n v="90"/>
    <n v="1.3499999999999999"/>
  </r>
  <r>
    <n v="914"/>
    <n v="2023"/>
    <n v="10"/>
    <n v="11"/>
    <s v="October"/>
    <s v="Wednesday"/>
    <d v="2023-10-11T00:00:00"/>
    <s v="CUST914"/>
    <x v="1"/>
    <n v="59"/>
    <x v="2"/>
    <x v="2"/>
    <n v="1"/>
    <n v="500"/>
    <n v="500"/>
    <n v="7.5"/>
  </r>
  <r>
    <n v="915"/>
    <n v="2023"/>
    <n v="5"/>
    <n v="30"/>
    <s v="May"/>
    <s v="Tuesday"/>
    <d v="2023-05-30T00:00:00"/>
    <s v="CUST915"/>
    <x v="1"/>
    <n v="26"/>
    <x v="1"/>
    <x v="0"/>
    <n v="3"/>
    <n v="30"/>
    <n v="90"/>
    <n v="1.3499999999999999"/>
  </r>
  <r>
    <n v="916"/>
    <n v="2023"/>
    <n v="12"/>
    <n v="24"/>
    <s v="December"/>
    <s v="Sunday"/>
    <d v="2023-12-24T00:00:00"/>
    <s v="CUST916"/>
    <x v="1"/>
    <n v="32"/>
    <x v="0"/>
    <x v="2"/>
    <n v="1"/>
    <n v="50"/>
    <n v="50"/>
    <n v="0.75"/>
  </r>
  <r>
    <n v="917"/>
    <n v="2023"/>
    <n v="3"/>
    <n v="6"/>
    <s v="March"/>
    <s v="Monday"/>
    <d v="2023-03-06T00:00:00"/>
    <s v="CUST917"/>
    <x v="1"/>
    <n v="57"/>
    <x v="2"/>
    <x v="2"/>
    <n v="4"/>
    <n v="50"/>
    <n v="200"/>
    <n v="3"/>
  </r>
  <r>
    <n v="918"/>
    <n v="2023"/>
    <n v="11"/>
    <n v="23"/>
    <s v="November"/>
    <s v="Thursday"/>
    <d v="2023-11-23T00:00:00"/>
    <s v="CUST918"/>
    <x v="1"/>
    <n v="42"/>
    <x v="0"/>
    <x v="2"/>
    <n v="3"/>
    <n v="30"/>
    <n v="90"/>
    <n v="1.3499999999999999"/>
  </r>
  <r>
    <n v="919"/>
    <n v="2023"/>
    <n v="9"/>
    <n v="9"/>
    <s v="September"/>
    <s v="Saturday"/>
    <d v="2023-09-09T00:00:00"/>
    <s v="CUST919"/>
    <x v="1"/>
    <n v="22"/>
    <x v="1"/>
    <x v="0"/>
    <n v="2"/>
    <n v="25"/>
    <n v="50"/>
    <n v="0.75"/>
  </r>
  <r>
    <n v="920"/>
    <n v="2023"/>
    <n v="2"/>
    <n v="22"/>
    <s v="February"/>
    <s v="Wednesday"/>
    <d v="2023-02-22T00:00:00"/>
    <s v="CUST920"/>
    <x v="1"/>
    <n v="28"/>
    <x v="1"/>
    <x v="0"/>
    <n v="3"/>
    <n v="25"/>
    <n v="75"/>
    <n v="1.125"/>
  </r>
  <r>
    <n v="921"/>
    <n v="2023"/>
    <n v="1"/>
    <n v="7"/>
    <s v="January"/>
    <s v="Saturday"/>
    <d v="2023-01-07T00:00:00"/>
    <s v="CUST921"/>
    <x v="0"/>
    <n v="51"/>
    <x v="2"/>
    <x v="2"/>
    <n v="3"/>
    <n v="25"/>
    <n v="75"/>
    <n v="1.125"/>
  </r>
  <r>
    <n v="922"/>
    <n v="2023"/>
    <n v="10"/>
    <n v="21"/>
    <s v="October"/>
    <s v="Saturday"/>
    <d v="2023-10-21T00:00:00"/>
    <s v="CUST922"/>
    <x v="0"/>
    <n v="41"/>
    <x v="0"/>
    <x v="2"/>
    <n v="1"/>
    <n v="50"/>
    <n v="50"/>
    <n v="0.75"/>
  </r>
  <r>
    <n v="923"/>
    <n v="2023"/>
    <n v="5"/>
    <n v="26"/>
    <s v="May"/>
    <s v="Friday"/>
    <d v="2023-05-26T00:00:00"/>
    <s v="CUST923"/>
    <x v="0"/>
    <n v="32"/>
    <x v="0"/>
    <x v="0"/>
    <n v="3"/>
    <n v="300"/>
    <n v="900"/>
    <n v="13.5"/>
  </r>
  <r>
    <n v="924"/>
    <n v="2023"/>
    <n v="8"/>
    <n v="29"/>
    <s v="August"/>
    <s v="Tuesday"/>
    <d v="2023-08-29T00:00:00"/>
    <s v="CUST924"/>
    <x v="0"/>
    <n v="55"/>
    <x v="2"/>
    <x v="0"/>
    <n v="2"/>
    <n v="50"/>
    <n v="100"/>
    <n v="1.5"/>
  </r>
  <r>
    <n v="925"/>
    <n v="2023"/>
    <n v="9"/>
    <n v="3"/>
    <s v="September"/>
    <s v="Sunday"/>
    <d v="2023-09-03T00:00:00"/>
    <s v="CUST925"/>
    <x v="0"/>
    <n v="25"/>
    <x v="1"/>
    <x v="2"/>
    <n v="1"/>
    <n v="300"/>
    <n v="300"/>
    <n v="4.5"/>
  </r>
  <r>
    <n v="926"/>
    <n v="2023"/>
    <n v="8"/>
    <n v="14"/>
    <s v="August"/>
    <s v="Monday"/>
    <d v="2023-08-14T00:00:00"/>
    <s v="CUST926"/>
    <x v="0"/>
    <n v="22"/>
    <x v="1"/>
    <x v="2"/>
    <n v="1"/>
    <n v="30"/>
    <n v="30"/>
    <n v="0.44999999999999996"/>
  </r>
  <r>
    <n v="927"/>
    <n v="2023"/>
    <n v="6"/>
    <n v="24"/>
    <s v="June"/>
    <s v="Saturday"/>
    <d v="2023-06-24T00:00:00"/>
    <s v="CUST927"/>
    <x v="0"/>
    <n v="43"/>
    <x v="0"/>
    <x v="2"/>
    <n v="4"/>
    <n v="500"/>
    <n v="2000"/>
    <n v="30"/>
  </r>
  <r>
    <n v="928"/>
    <n v="2023"/>
    <n v="4"/>
    <n v="5"/>
    <s v="April"/>
    <s v="Wednesday"/>
    <d v="2023-04-05T00:00:00"/>
    <s v="CUST928"/>
    <x v="1"/>
    <n v="35"/>
    <x v="0"/>
    <x v="1"/>
    <n v="4"/>
    <n v="300"/>
    <n v="1200"/>
    <n v="18"/>
  </r>
  <r>
    <n v="929"/>
    <n v="2023"/>
    <n v="1"/>
    <n v="27"/>
    <s v="January"/>
    <s v="Friday"/>
    <d v="2023-01-27T00:00:00"/>
    <s v="CUST929"/>
    <x v="1"/>
    <n v="23"/>
    <x v="1"/>
    <x v="0"/>
    <n v="3"/>
    <n v="25"/>
    <n v="75"/>
    <n v="1.125"/>
  </r>
  <r>
    <n v="930"/>
    <n v="2023"/>
    <n v="5"/>
    <n v="10"/>
    <s v="May"/>
    <s v="Wednesday"/>
    <d v="2023-05-10T00:00:00"/>
    <s v="CUST930"/>
    <x v="0"/>
    <n v="54"/>
    <x v="2"/>
    <x v="1"/>
    <n v="4"/>
    <n v="50"/>
    <n v="200"/>
    <n v="3"/>
  </r>
  <r>
    <n v="931"/>
    <n v="2023"/>
    <n v="9"/>
    <n v="2"/>
    <s v="September"/>
    <s v="Saturday"/>
    <d v="2023-09-02T00:00:00"/>
    <s v="CUST931"/>
    <x v="0"/>
    <n v="30"/>
    <x v="0"/>
    <x v="0"/>
    <n v="4"/>
    <n v="30"/>
    <n v="120"/>
    <n v="1.7999999999999998"/>
  </r>
  <r>
    <n v="932"/>
    <n v="2023"/>
    <n v="2"/>
    <n v="28"/>
    <s v="February"/>
    <s v="Tuesday"/>
    <d v="2023-02-28T00:00:00"/>
    <s v="CUST932"/>
    <x v="1"/>
    <n v="45"/>
    <x v="0"/>
    <x v="0"/>
    <n v="4"/>
    <n v="25"/>
    <n v="100"/>
    <n v="1.5"/>
  </r>
  <r>
    <n v="933"/>
    <n v="2023"/>
    <n v="2"/>
    <n v="3"/>
    <s v="February"/>
    <s v="Friday"/>
    <d v="2023-02-03T00:00:00"/>
    <s v="CUST933"/>
    <x v="0"/>
    <n v="22"/>
    <x v="1"/>
    <x v="0"/>
    <n v="1"/>
    <n v="30"/>
    <n v="30"/>
    <n v="0.44999999999999996"/>
  </r>
  <r>
    <n v="934"/>
    <n v="2023"/>
    <n v="7"/>
    <n v="25"/>
    <s v="July"/>
    <s v="Tuesday"/>
    <d v="2023-07-25T00:00:00"/>
    <s v="CUST934"/>
    <x v="0"/>
    <n v="30"/>
    <x v="0"/>
    <x v="0"/>
    <n v="1"/>
    <n v="500"/>
    <n v="500"/>
    <n v="7.5"/>
  </r>
  <r>
    <n v="935"/>
    <n v="2023"/>
    <n v="9"/>
    <n v="9"/>
    <s v="September"/>
    <s v="Saturday"/>
    <d v="2023-09-09T00:00:00"/>
    <s v="CUST935"/>
    <x v="1"/>
    <n v="34"/>
    <x v="0"/>
    <x v="0"/>
    <n v="1"/>
    <n v="50"/>
    <n v="50"/>
    <n v="0.75"/>
  </r>
  <r>
    <n v="936"/>
    <n v="2023"/>
    <n v="2"/>
    <n v="7"/>
    <s v="February"/>
    <s v="Tuesday"/>
    <d v="2023-02-07T00:00:00"/>
    <s v="CUST936"/>
    <x v="0"/>
    <n v="57"/>
    <x v="2"/>
    <x v="0"/>
    <n v="4"/>
    <n v="50"/>
    <n v="200"/>
    <n v="3"/>
  </r>
  <r>
    <n v="937"/>
    <n v="2023"/>
    <n v="10"/>
    <n v="23"/>
    <s v="October"/>
    <s v="Monday"/>
    <d v="2023-10-23T00:00:00"/>
    <s v="CUST937"/>
    <x v="1"/>
    <n v="62"/>
    <x v="2"/>
    <x v="0"/>
    <n v="1"/>
    <n v="500"/>
    <n v="500"/>
    <n v="7.5"/>
  </r>
  <r>
    <n v="938"/>
    <n v="2023"/>
    <n v="11"/>
    <n v="19"/>
    <s v="November"/>
    <s v="Sunday"/>
    <d v="2023-11-19T00:00:00"/>
    <s v="CUST938"/>
    <x v="0"/>
    <n v="49"/>
    <x v="0"/>
    <x v="1"/>
    <n v="4"/>
    <n v="50"/>
    <n v="200"/>
    <n v="3"/>
  </r>
  <r>
    <n v="939"/>
    <n v="2023"/>
    <n v="12"/>
    <n v="18"/>
    <s v="December"/>
    <s v="Monday"/>
    <d v="2023-12-18T00:00:00"/>
    <s v="CUST939"/>
    <x v="1"/>
    <n v="46"/>
    <x v="0"/>
    <x v="2"/>
    <n v="1"/>
    <n v="300"/>
    <n v="300"/>
    <n v="4.5"/>
  </r>
  <r>
    <n v="940"/>
    <n v="2023"/>
    <n v="1"/>
    <n v="28"/>
    <s v="January"/>
    <s v="Saturday"/>
    <d v="2023-01-28T00:00:00"/>
    <s v="CUST940"/>
    <x v="1"/>
    <n v="20"/>
    <x v="1"/>
    <x v="2"/>
    <n v="1"/>
    <n v="30"/>
    <n v="30"/>
    <n v="0.44999999999999996"/>
  </r>
  <r>
    <n v="941"/>
    <n v="2023"/>
    <n v="3"/>
    <n v="19"/>
    <s v="March"/>
    <s v="Sunday"/>
    <d v="2023-03-19T00:00:00"/>
    <s v="CUST941"/>
    <x v="1"/>
    <n v="57"/>
    <x v="2"/>
    <x v="1"/>
    <n v="2"/>
    <n v="25"/>
    <n v="50"/>
    <n v="0.75"/>
  </r>
  <r>
    <n v="942"/>
    <n v="2023"/>
    <n v="3"/>
    <n v="18"/>
    <s v="March"/>
    <s v="Saturday"/>
    <d v="2023-03-18T00:00:00"/>
    <s v="CUST942"/>
    <x v="0"/>
    <n v="51"/>
    <x v="2"/>
    <x v="1"/>
    <n v="3"/>
    <n v="500"/>
    <n v="1500"/>
    <n v="22.5"/>
  </r>
  <r>
    <n v="943"/>
    <n v="2023"/>
    <n v="10"/>
    <n v="16"/>
    <s v="October"/>
    <s v="Monday"/>
    <d v="2023-10-16T00:00:00"/>
    <s v="CUST943"/>
    <x v="1"/>
    <n v="57"/>
    <x v="2"/>
    <x v="1"/>
    <n v="4"/>
    <n v="300"/>
    <n v="1200"/>
    <n v="18"/>
  </r>
  <r>
    <n v="944"/>
    <n v="2023"/>
    <n v="6"/>
    <n v="5"/>
    <s v="June"/>
    <s v="Monday"/>
    <d v="2023-06-05T00:00:00"/>
    <s v="CUST944"/>
    <x v="0"/>
    <n v="44"/>
    <x v="0"/>
    <x v="1"/>
    <n v="2"/>
    <n v="25"/>
    <n v="50"/>
    <n v="0.75"/>
  </r>
  <r>
    <n v="945"/>
    <n v="2023"/>
    <n v="2"/>
    <n v="13"/>
    <s v="February"/>
    <s v="Monday"/>
    <d v="2023-02-13T00:00:00"/>
    <s v="CUST945"/>
    <x v="0"/>
    <n v="30"/>
    <x v="0"/>
    <x v="0"/>
    <n v="1"/>
    <n v="25"/>
    <n v="25"/>
    <n v="0.375"/>
  </r>
  <r>
    <n v="946"/>
    <n v="2023"/>
    <n v="5"/>
    <n v="8"/>
    <s v="May"/>
    <s v="Monday"/>
    <d v="2023-05-08T00:00:00"/>
    <s v="CUST946"/>
    <x v="0"/>
    <n v="62"/>
    <x v="2"/>
    <x v="2"/>
    <n v="4"/>
    <n v="500"/>
    <n v="2000"/>
    <n v="30"/>
  </r>
  <r>
    <n v="947"/>
    <n v="2023"/>
    <n v="3"/>
    <n v="2"/>
    <s v="March"/>
    <s v="Thursday"/>
    <d v="2023-03-02T00:00:00"/>
    <s v="CUST947"/>
    <x v="0"/>
    <n v="50"/>
    <x v="2"/>
    <x v="0"/>
    <n v="1"/>
    <n v="300"/>
    <n v="300"/>
    <n v="4.5"/>
  </r>
  <r>
    <n v="948"/>
    <n v="2023"/>
    <n v="10"/>
    <n v="13"/>
    <s v="October"/>
    <s v="Friday"/>
    <d v="2023-10-13T00:00:00"/>
    <s v="CUST948"/>
    <x v="1"/>
    <n v="23"/>
    <x v="1"/>
    <x v="2"/>
    <n v="3"/>
    <n v="25"/>
    <n v="75"/>
    <n v="1.125"/>
  </r>
  <r>
    <n v="949"/>
    <n v="2023"/>
    <n v="8"/>
    <n v="2"/>
    <s v="August"/>
    <s v="Wednesday"/>
    <d v="2023-08-02T00:00:00"/>
    <s v="CUST949"/>
    <x v="1"/>
    <n v="41"/>
    <x v="0"/>
    <x v="2"/>
    <n v="2"/>
    <n v="25"/>
    <n v="50"/>
    <n v="0.75"/>
  </r>
  <r>
    <n v="950"/>
    <n v="2023"/>
    <n v="11"/>
    <n v="7"/>
    <s v="November"/>
    <s v="Tuesday"/>
    <d v="2023-11-07T00:00:00"/>
    <s v="CUST950"/>
    <x v="0"/>
    <n v="36"/>
    <x v="0"/>
    <x v="1"/>
    <n v="3"/>
    <n v="300"/>
    <n v="900"/>
    <n v="13.5"/>
  </r>
  <r>
    <n v="951"/>
    <n v="2023"/>
    <n v="11"/>
    <n v="2"/>
    <s v="November"/>
    <s v="Thursday"/>
    <d v="2023-11-02T00:00:00"/>
    <s v="CUST951"/>
    <x v="0"/>
    <n v="33"/>
    <x v="0"/>
    <x v="0"/>
    <n v="2"/>
    <n v="50"/>
    <n v="100"/>
    <n v="1.5"/>
  </r>
  <r>
    <n v="952"/>
    <n v="2023"/>
    <n v="11"/>
    <n v="13"/>
    <s v="November"/>
    <s v="Monday"/>
    <d v="2023-11-13T00:00:00"/>
    <s v="CUST952"/>
    <x v="1"/>
    <n v="57"/>
    <x v="2"/>
    <x v="1"/>
    <n v="1"/>
    <n v="25"/>
    <n v="25"/>
    <n v="0.375"/>
  </r>
  <r>
    <n v="953"/>
    <n v="2023"/>
    <n v="4"/>
    <n v="26"/>
    <s v="April"/>
    <s v="Wednesday"/>
    <d v="2023-04-26T00:00:00"/>
    <s v="CUST953"/>
    <x v="0"/>
    <n v="45"/>
    <x v="0"/>
    <x v="0"/>
    <n v="3"/>
    <n v="30"/>
    <n v="90"/>
    <n v="1.3499999999999999"/>
  </r>
  <r>
    <n v="954"/>
    <n v="2023"/>
    <n v="9"/>
    <n v="25"/>
    <s v="September"/>
    <s v="Monday"/>
    <d v="2023-09-25T00:00:00"/>
    <s v="CUST954"/>
    <x v="1"/>
    <n v="50"/>
    <x v="2"/>
    <x v="2"/>
    <n v="3"/>
    <n v="300"/>
    <n v="900"/>
    <n v="13.5"/>
  </r>
  <r>
    <n v="955"/>
    <n v="2023"/>
    <n v="7"/>
    <n v="14"/>
    <s v="July"/>
    <s v="Friday"/>
    <d v="2023-07-14T00:00:00"/>
    <s v="CUST955"/>
    <x v="0"/>
    <n v="58"/>
    <x v="2"/>
    <x v="1"/>
    <n v="1"/>
    <n v="25"/>
    <n v="25"/>
    <n v="0.375"/>
  </r>
  <r>
    <n v="956"/>
    <n v="2023"/>
    <n v="8"/>
    <n v="19"/>
    <s v="August"/>
    <s v="Saturday"/>
    <d v="2023-08-19T00:00:00"/>
    <s v="CUST956"/>
    <x v="0"/>
    <n v="30"/>
    <x v="0"/>
    <x v="1"/>
    <n v="3"/>
    <n v="500"/>
    <n v="1500"/>
    <n v="22.5"/>
  </r>
  <r>
    <n v="957"/>
    <n v="2023"/>
    <n v="8"/>
    <n v="15"/>
    <s v="August"/>
    <s v="Tuesday"/>
    <d v="2023-08-15T00:00:00"/>
    <s v="CUST957"/>
    <x v="1"/>
    <n v="60"/>
    <x v="2"/>
    <x v="2"/>
    <n v="4"/>
    <n v="30"/>
    <n v="120"/>
    <n v="1.7999999999999998"/>
  </r>
  <r>
    <n v="958"/>
    <n v="2023"/>
    <n v="6"/>
    <n v="2"/>
    <s v="June"/>
    <s v="Friday"/>
    <d v="2023-06-02T00:00:00"/>
    <s v="CUST958"/>
    <x v="0"/>
    <n v="62"/>
    <x v="2"/>
    <x v="2"/>
    <n v="2"/>
    <n v="25"/>
    <n v="50"/>
    <n v="0.75"/>
  </r>
  <r>
    <n v="959"/>
    <n v="2023"/>
    <n v="10"/>
    <n v="29"/>
    <s v="October"/>
    <s v="Sunday"/>
    <d v="2023-10-29T00:00:00"/>
    <s v="CUST959"/>
    <x v="1"/>
    <n v="42"/>
    <x v="0"/>
    <x v="2"/>
    <n v="2"/>
    <n v="30"/>
    <n v="60"/>
    <n v="0.89999999999999991"/>
  </r>
  <r>
    <n v="960"/>
    <n v="2023"/>
    <n v="8"/>
    <n v="8"/>
    <s v="August"/>
    <s v="Tuesday"/>
    <d v="2023-08-08T00:00:00"/>
    <s v="CUST960"/>
    <x v="0"/>
    <n v="59"/>
    <x v="2"/>
    <x v="1"/>
    <n v="2"/>
    <n v="30"/>
    <n v="60"/>
    <n v="0.89999999999999991"/>
  </r>
  <r>
    <n v="961"/>
    <n v="2023"/>
    <n v="6"/>
    <n v="6"/>
    <s v="June"/>
    <s v="Tuesday"/>
    <d v="2023-06-06T00:00:00"/>
    <s v="CUST961"/>
    <x v="0"/>
    <n v="53"/>
    <x v="2"/>
    <x v="0"/>
    <n v="4"/>
    <n v="50"/>
    <n v="200"/>
    <n v="3"/>
  </r>
  <r>
    <n v="962"/>
    <n v="2023"/>
    <n v="10"/>
    <n v="19"/>
    <s v="October"/>
    <s v="Thursday"/>
    <d v="2023-10-19T00:00:00"/>
    <s v="CUST962"/>
    <x v="0"/>
    <n v="44"/>
    <x v="0"/>
    <x v="1"/>
    <n v="2"/>
    <n v="30"/>
    <n v="60"/>
    <n v="0.89999999999999991"/>
  </r>
  <r>
    <n v="963"/>
    <n v="2023"/>
    <n v="11"/>
    <n v="14"/>
    <s v="November"/>
    <s v="Tuesday"/>
    <d v="2023-11-14T00:00:00"/>
    <s v="CUST963"/>
    <x v="1"/>
    <n v="55"/>
    <x v="2"/>
    <x v="0"/>
    <n v="1"/>
    <n v="50"/>
    <n v="50"/>
    <n v="0.75"/>
  </r>
  <r>
    <n v="964"/>
    <n v="2023"/>
    <n v="1"/>
    <n v="31"/>
    <s v="January"/>
    <s v="Tuesday"/>
    <d v="2023-01-31T00:00:00"/>
    <s v="CUST964"/>
    <x v="0"/>
    <n v="24"/>
    <x v="1"/>
    <x v="1"/>
    <n v="3"/>
    <n v="300"/>
    <n v="900"/>
    <n v="13.5"/>
  </r>
  <r>
    <n v="965"/>
    <n v="2023"/>
    <n v="11"/>
    <n v="9"/>
    <s v="November"/>
    <s v="Thursday"/>
    <d v="2023-11-09T00:00:00"/>
    <s v="CUST965"/>
    <x v="0"/>
    <n v="22"/>
    <x v="1"/>
    <x v="1"/>
    <n v="4"/>
    <n v="50"/>
    <n v="200"/>
    <n v="3"/>
  </r>
  <r>
    <n v="966"/>
    <n v="2023"/>
    <n v="2"/>
    <n v="20"/>
    <s v="February"/>
    <s v="Monday"/>
    <d v="2023-02-20T00:00:00"/>
    <s v="CUST966"/>
    <x v="0"/>
    <n v="60"/>
    <x v="2"/>
    <x v="2"/>
    <n v="2"/>
    <n v="500"/>
    <n v="1000"/>
    <n v="15"/>
  </r>
  <r>
    <n v="967"/>
    <n v="2023"/>
    <n v="4"/>
    <n v="17"/>
    <s v="April"/>
    <s v="Monday"/>
    <d v="2023-04-17T00:00:00"/>
    <s v="CUST967"/>
    <x v="0"/>
    <n v="62"/>
    <x v="2"/>
    <x v="0"/>
    <n v="1"/>
    <n v="25"/>
    <n v="25"/>
    <n v="0.375"/>
  </r>
  <r>
    <n v="968"/>
    <n v="2023"/>
    <n v="11"/>
    <n v="17"/>
    <s v="November"/>
    <s v="Friday"/>
    <d v="2023-11-17T00:00:00"/>
    <s v="CUST968"/>
    <x v="1"/>
    <n v="48"/>
    <x v="0"/>
    <x v="1"/>
    <n v="3"/>
    <n v="300"/>
    <n v="900"/>
    <n v="13.5"/>
  </r>
  <r>
    <n v="969"/>
    <n v="2023"/>
    <n v="4"/>
    <n v="19"/>
    <s v="April"/>
    <s v="Wednesday"/>
    <d v="2023-04-19T00:00:00"/>
    <s v="CUST969"/>
    <x v="1"/>
    <n v="40"/>
    <x v="0"/>
    <x v="1"/>
    <n v="3"/>
    <n v="300"/>
    <n v="900"/>
    <n v="13.5"/>
  </r>
  <r>
    <n v="970"/>
    <n v="2023"/>
    <n v="5"/>
    <n v="16"/>
    <s v="May"/>
    <s v="Tuesday"/>
    <d v="2023-05-16T00:00:00"/>
    <s v="CUST970"/>
    <x v="0"/>
    <n v="59"/>
    <x v="2"/>
    <x v="2"/>
    <n v="4"/>
    <n v="500"/>
    <n v="2000"/>
    <n v="30"/>
  </r>
  <r>
    <n v="971"/>
    <n v="2023"/>
    <n v="12"/>
    <n v="5"/>
    <s v="December"/>
    <s v="Tuesday"/>
    <d v="2023-12-05T00:00:00"/>
    <s v="CUST971"/>
    <x v="1"/>
    <n v="27"/>
    <x v="1"/>
    <x v="2"/>
    <n v="4"/>
    <n v="50"/>
    <n v="200"/>
    <n v="3"/>
  </r>
  <r>
    <n v="972"/>
    <n v="2023"/>
    <n v="2"/>
    <n v="11"/>
    <s v="February"/>
    <s v="Saturday"/>
    <d v="2023-02-11T00:00:00"/>
    <s v="CUST972"/>
    <x v="0"/>
    <n v="49"/>
    <x v="0"/>
    <x v="0"/>
    <n v="4"/>
    <n v="25"/>
    <n v="100"/>
    <n v="1.5"/>
  </r>
  <r>
    <n v="973"/>
    <n v="2023"/>
    <n v="3"/>
    <n v="22"/>
    <s v="March"/>
    <s v="Wednesday"/>
    <d v="2023-03-22T00:00:00"/>
    <s v="CUST973"/>
    <x v="0"/>
    <n v="60"/>
    <x v="2"/>
    <x v="1"/>
    <n v="1"/>
    <n v="50"/>
    <n v="50"/>
    <n v="0.75"/>
  </r>
  <r>
    <n v="974"/>
    <n v="2023"/>
    <n v="5"/>
    <n v="3"/>
    <s v="May"/>
    <s v="Wednesday"/>
    <d v="2023-05-03T00:00:00"/>
    <s v="CUST974"/>
    <x v="0"/>
    <n v="47"/>
    <x v="0"/>
    <x v="0"/>
    <n v="1"/>
    <n v="30"/>
    <n v="30"/>
    <n v="0.44999999999999996"/>
  </r>
  <r>
    <n v="975"/>
    <n v="2023"/>
    <n v="3"/>
    <n v="30"/>
    <s v="March"/>
    <s v="Thursday"/>
    <d v="2023-03-30T00:00:00"/>
    <s v="CUST975"/>
    <x v="1"/>
    <n v="56"/>
    <x v="2"/>
    <x v="1"/>
    <n v="4"/>
    <n v="50"/>
    <n v="200"/>
    <n v="3"/>
  </r>
  <r>
    <n v="976"/>
    <n v="2023"/>
    <n v="10"/>
    <n v="10"/>
    <s v="October"/>
    <s v="Tuesday"/>
    <d v="2023-10-10T00:00:00"/>
    <s v="CUST976"/>
    <x v="1"/>
    <n v="48"/>
    <x v="0"/>
    <x v="0"/>
    <n v="2"/>
    <n v="300"/>
    <n v="600"/>
    <n v="9"/>
  </r>
  <r>
    <n v="977"/>
    <n v="2023"/>
    <n v="2"/>
    <n v="8"/>
    <s v="February"/>
    <s v="Wednesday"/>
    <d v="2023-02-08T00:00:00"/>
    <s v="CUST977"/>
    <x v="1"/>
    <n v="35"/>
    <x v="0"/>
    <x v="2"/>
    <n v="3"/>
    <n v="25"/>
    <n v="75"/>
    <n v="1.125"/>
  </r>
  <r>
    <n v="978"/>
    <n v="2023"/>
    <n v="3"/>
    <n v="22"/>
    <s v="March"/>
    <s v="Wednesday"/>
    <d v="2023-03-22T00:00:00"/>
    <s v="CUST978"/>
    <x v="1"/>
    <n v="53"/>
    <x v="2"/>
    <x v="1"/>
    <n v="3"/>
    <n v="50"/>
    <n v="150"/>
    <n v="2.25"/>
  </r>
  <r>
    <n v="979"/>
    <n v="2023"/>
    <n v="1"/>
    <n v="2"/>
    <s v="January"/>
    <s v="Monday"/>
    <d v="2023-01-02T00:00:00"/>
    <s v="CUST979"/>
    <x v="1"/>
    <n v="19"/>
    <x v="1"/>
    <x v="0"/>
    <n v="1"/>
    <n v="25"/>
    <n v="25"/>
    <n v="0.375"/>
  </r>
  <r>
    <n v="980"/>
    <n v="2023"/>
    <n v="7"/>
    <n v="29"/>
    <s v="July"/>
    <s v="Saturday"/>
    <d v="2023-07-29T00:00:00"/>
    <s v="CUST980"/>
    <x v="1"/>
    <n v="31"/>
    <x v="0"/>
    <x v="2"/>
    <n v="3"/>
    <n v="25"/>
    <n v="75"/>
    <n v="1.125"/>
  </r>
  <r>
    <n v="981"/>
    <n v="2023"/>
    <n v="8"/>
    <n v="19"/>
    <s v="August"/>
    <s v="Saturday"/>
    <d v="2023-08-19T00:00:00"/>
    <s v="CUST981"/>
    <x v="1"/>
    <n v="30"/>
    <x v="0"/>
    <x v="2"/>
    <n v="2"/>
    <n v="30"/>
    <n v="60"/>
    <n v="0.89999999999999991"/>
  </r>
  <r>
    <n v="982"/>
    <n v="2023"/>
    <n v="12"/>
    <n v="19"/>
    <s v="December"/>
    <s v="Tuesday"/>
    <d v="2023-12-19T00:00:00"/>
    <s v="CUST982"/>
    <x v="1"/>
    <n v="46"/>
    <x v="0"/>
    <x v="0"/>
    <n v="3"/>
    <n v="30"/>
    <n v="90"/>
    <n v="1.3499999999999999"/>
  </r>
  <r>
    <n v="983"/>
    <n v="2023"/>
    <n v="11"/>
    <n v="1"/>
    <s v="November"/>
    <s v="Wednesday"/>
    <d v="2023-11-01T00:00:00"/>
    <s v="CUST983"/>
    <x v="1"/>
    <n v="29"/>
    <x v="1"/>
    <x v="1"/>
    <n v="1"/>
    <n v="300"/>
    <n v="300"/>
    <n v="4.5"/>
  </r>
  <r>
    <n v="984"/>
    <n v="2023"/>
    <n v="8"/>
    <n v="29"/>
    <s v="August"/>
    <s v="Tuesday"/>
    <d v="2023-08-29T00:00:00"/>
    <s v="CUST984"/>
    <x v="0"/>
    <n v="56"/>
    <x v="2"/>
    <x v="1"/>
    <n v="1"/>
    <n v="500"/>
    <n v="500"/>
    <n v="7.5"/>
  </r>
  <r>
    <n v="985"/>
    <n v="2023"/>
    <n v="5"/>
    <n v="30"/>
    <s v="May"/>
    <s v="Tuesday"/>
    <d v="2023-05-30T00:00:00"/>
    <s v="CUST985"/>
    <x v="1"/>
    <n v="19"/>
    <x v="1"/>
    <x v="2"/>
    <n v="2"/>
    <n v="25"/>
    <n v="50"/>
    <n v="0.75"/>
  </r>
  <r>
    <n v="986"/>
    <n v="2023"/>
    <n v="1"/>
    <n v="17"/>
    <s v="January"/>
    <s v="Tuesday"/>
    <d v="2023-01-17T00:00:00"/>
    <s v="CUST986"/>
    <x v="1"/>
    <n v="49"/>
    <x v="0"/>
    <x v="1"/>
    <n v="2"/>
    <n v="500"/>
    <n v="1000"/>
    <n v="15"/>
  </r>
  <r>
    <n v="987"/>
    <n v="2023"/>
    <n v="4"/>
    <n v="29"/>
    <s v="April"/>
    <s v="Saturday"/>
    <d v="2023-04-29T00:00:00"/>
    <s v="CUST987"/>
    <x v="1"/>
    <n v="30"/>
    <x v="0"/>
    <x v="1"/>
    <n v="3"/>
    <n v="300"/>
    <n v="900"/>
    <n v="13.5"/>
  </r>
  <r>
    <n v="988"/>
    <n v="2023"/>
    <n v="5"/>
    <n v="28"/>
    <s v="May"/>
    <s v="Sunday"/>
    <d v="2023-05-28T00:00:00"/>
    <s v="CUST988"/>
    <x v="1"/>
    <n v="63"/>
    <x v="2"/>
    <x v="1"/>
    <n v="3"/>
    <n v="25"/>
    <n v="75"/>
    <n v="1.125"/>
  </r>
  <r>
    <n v="989"/>
    <n v="2023"/>
    <n v="12"/>
    <n v="28"/>
    <s v="December"/>
    <s v="Thursday"/>
    <d v="2023-12-28T00:00:00"/>
    <s v="CUST989"/>
    <x v="1"/>
    <n v="44"/>
    <x v="0"/>
    <x v="2"/>
    <n v="1"/>
    <n v="25"/>
    <n v="25"/>
    <n v="0.375"/>
  </r>
  <r>
    <n v="990"/>
    <n v="2023"/>
    <n v="5"/>
    <n v="25"/>
    <s v="May"/>
    <s v="Thursday"/>
    <d v="2023-05-25T00:00:00"/>
    <s v="CUST990"/>
    <x v="1"/>
    <n v="58"/>
    <x v="2"/>
    <x v="0"/>
    <n v="2"/>
    <n v="500"/>
    <n v="1000"/>
    <n v="15"/>
  </r>
  <r>
    <n v="991"/>
    <n v="2023"/>
    <n v="12"/>
    <n v="26"/>
    <s v="December"/>
    <s v="Tuesday"/>
    <d v="2023-12-26T00:00:00"/>
    <s v="CUST991"/>
    <x v="1"/>
    <n v="34"/>
    <x v="0"/>
    <x v="1"/>
    <n v="2"/>
    <n v="50"/>
    <n v="100"/>
    <n v="1.5"/>
  </r>
  <r>
    <n v="992"/>
    <n v="2023"/>
    <n v="8"/>
    <n v="21"/>
    <s v="August"/>
    <s v="Monday"/>
    <d v="2023-08-21T00:00:00"/>
    <s v="CUST992"/>
    <x v="1"/>
    <n v="57"/>
    <x v="2"/>
    <x v="2"/>
    <n v="2"/>
    <n v="30"/>
    <n v="60"/>
    <n v="0.89999999999999991"/>
  </r>
  <r>
    <n v="993"/>
    <n v="2023"/>
    <n v="2"/>
    <n v="6"/>
    <s v="February"/>
    <s v="Monday"/>
    <d v="2023-02-06T00:00:00"/>
    <s v="CUST993"/>
    <x v="1"/>
    <n v="48"/>
    <x v="0"/>
    <x v="2"/>
    <n v="3"/>
    <n v="50"/>
    <n v="150"/>
    <n v="2.25"/>
  </r>
  <r>
    <n v="994"/>
    <n v="2023"/>
    <n v="12"/>
    <n v="18"/>
    <s v="December"/>
    <s v="Monday"/>
    <d v="2023-12-18T00:00:00"/>
    <s v="CUST994"/>
    <x v="1"/>
    <n v="51"/>
    <x v="2"/>
    <x v="0"/>
    <n v="2"/>
    <n v="500"/>
    <n v="1000"/>
    <n v="15"/>
  </r>
  <r>
    <n v="995"/>
    <n v="2023"/>
    <n v="4"/>
    <n v="30"/>
    <s v="April"/>
    <s v="Sunday"/>
    <d v="2023-04-30T00:00:00"/>
    <s v="CUST995"/>
    <x v="1"/>
    <n v="41"/>
    <x v="0"/>
    <x v="1"/>
    <n v="1"/>
    <n v="30"/>
    <n v="30"/>
    <n v="0.44999999999999996"/>
  </r>
  <r>
    <n v="996"/>
    <n v="2023"/>
    <n v="5"/>
    <n v="16"/>
    <s v="May"/>
    <s v="Tuesday"/>
    <d v="2023-05-16T00:00:00"/>
    <s v="CUST996"/>
    <x v="0"/>
    <n v="62"/>
    <x v="2"/>
    <x v="1"/>
    <n v="1"/>
    <n v="50"/>
    <n v="50"/>
    <n v="0.75"/>
  </r>
  <r>
    <n v="997"/>
    <n v="2023"/>
    <n v="11"/>
    <n v="17"/>
    <s v="November"/>
    <s v="Friday"/>
    <d v="2023-11-17T00:00:00"/>
    <s v="CUST997"/>
    <x v="0"/>
    <n v="52"/>
    <x v="2"/>
    <x v="0"/>
    <n v="3"/>
    <n v="30"/>
    <n v="90"/>
    <n v="1.3499999999999999"/>
  </r>
  <r>
    <n v="998"/>
    <n v="2023"/>
    <n v="10"/>
    <n v="29"/>
    <s v="October"/>
    <s v="Sunday"/>
    <d v="2023-10-29T00:00:00"/>
    <s v="CUST998"/>
    <x v="1"/>
    <n v="23"/>
    <x v="1"/>
    <x v="0"/>
    <n v="4"/>
    <n v="25"/>
    <n v="100"/>
    <n v="1.5"/>
  </r>
  <r>
    <n v="999"/>
    <n v="2023"/>
    <n v="12"/>
    <n v="5"/>
    <s v="December"/>
    <s v="Tuesday"/>
    <d v="2023-12-05T00:00:00"/>
    <s v="CUST999"/>
    <x v="1"/>
    <n v="36"/>
    <x v="0"/>
    <x v="2"/>
    <n v="3"/>
    <n v="50"/>
    <n v="150"/>
    <n v="2.25"/>
  </r>
  <r>
    <n v="1000"/>
    <n v="2023"/>
    <n v="4"/>
    <n v="12"/>
    <s v="April"/>
    <s v="Wednesday"/>
    <d v="2023-04-12T00:00:00"/>
    <s v="CUST1000"/>
    <x v="0"/>
    <n v="47"/>
    <x v="0"/>
    <x v="2"/>
    <n v="4"/>
    <n v="30"/>
    <n v="120"/>
    <n v="1.7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28EB4-AE8F-4606-8E4E-22D60D51A01A}" name="PivotTable1" cacheId="4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2" firstHeaderRow="1" firstDataRow="1" firstDataCol="2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</pivotFields>
  <rowFields count="2">
    <field x="8"/>
    <field x="11"/>
  </rowFields>
  <row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Items count="1">
    <i/>
  </colItems>
  <dataFields count="1">
    <dataField name="Sum of Total Sales" fld="14" showDataAs="percentOfTotal" baseField="0" baseItem="0" numFmtId="1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17CB9-1731-46FE-8209-7B369C958BA5}" name="PivotTable1" cacheId="4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31" firstHeaderRow="1" firstDataRow="1" firstDataCol="3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</pivotFields>
  <rowFields count="3">
    <field x="11"/>
    <field x="8"/>
    <field x="10"/>
  </rowFields>
  <rowItems count="28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t="default">
      <x/>
    </i>
    <i>
      <x v="1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t="default">
      <x v="1"/>
    </i>
    <i>
      <x v="2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t="default">
      <x v="2"/>
    </i>
    <i t="grand">
      <x/>
    </i>
  </rowItems>
  <colItems count="1">
    <i/>
  </colItems>
  <dataFields count="1">
    <dataField name="Sum of Total Sales" fld="14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8308EC9A-C416-4FC9-843E-FF33388325CC}" sourceName="Gender">
  <pivotTables>
    <pivotTable tabId="4" name="PivotTable1"/>
  </pivotTables>
  <data>
    <tabular pivotCacheId="1135496471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D44E56FF-6D17-489C-9BEC-F82AC1C26301}" sourceName="Generation">
  <pivotTables>
    <pivotTable tabId="4" name="PivotTable1"/>
  </pivotTables>
  <data>
    <tabular pivotCacheId="1135496471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11F3149E-4FC9-4453-BC80-6BA66031E528}" sourceName="Product Category">
  <pivotTables>
    <pivotTable tabId="4" name="PivotTable1"/>
  </pivotTables>
  <data>
    <tabular pivotCacheId="1135496471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77F307C7-760D-4D5A-B715-4507EA5882A5}" cache="Slicer_Gender" caption="Gender" rowHeight="228600"/>
  <slicer name="Generation" xr10:uid="{EA41351E-E64D-46F6-99D2-49595CD8AE99}" cache="Slicer_Generation" caption="Generation" rowHeight="228600"/>
  <slicer name="Product Category" xr10:uid="{8FC9E815-FB02-4E78-9980-B2677D17CE64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opLeftCell="I8" zoomScaleNormal="100" workbookViewId="0">
      <selection activeCell="S19" sqref="S19"/>
    </sheetView>
  </sheetViews>
  <sheetFormatPr defaultColWidth="11.25" defaultRowHeight="15.75"/>
  <cols>
    <col min="1" max="6" width="14.75" customWidth="1"/>
    <col min="7" max="7" width="10.5" bestFit="1" customWidth="1"/>
    <col min="8" max="8" width="13" customWidth="1"/>
    <col min="12" max="12" width="17.125" customWidth="1"/>
    <col min="14" max="14" width="14.125" customWidth="1"/>
    <col min="16" max="16" width="14.75" style="14" bestFit="1" customWidth="1"/>
    <col min="18" max="18" width="18.375" bestFit="1" customWidth="1"/>
    <col min="19" max="19" width="11.25" style="13"/>
  </cols>
  <sheetData>
    <row r="1" spans="1:22">
      <c r="A1" s="10" t="s">
        <v>0</v>
      </c>
      <c r="B1" s="11" t="s">
        <v>1</v>
      </c>
      <c r="C1" s="11" t="s">
        <v>2</v>
      </c>
      <c r="D1" s="11" t="s">
        <v>3</v>
      </c>
      <c r="E1" s="11"/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2" t="s">
        <v>12</v>
      </c>
      <c r="O1" t="s">
        <v>13</v>
      </c>
      <c r="P1" s="14" t="s">
        <v>14</v>
      </c>
    </row>
    <row r="2" spans="1:22">
      <c r="A2" s="2">
        <v>1</v>
      </c>
      <c r="B2" s="4">
        <f>YEAR(G2)</f>
        <v>2023</v>
      </c>
      <c r="C2" s="4">
        <f>MONTH(G2)</f>
        <v>11</v>
      </c>
      <c r="D2" s="4">
        <f>DAY(G2)</f>
        <v>24</v>
      </c>
      <c r="E2" s="4" t="str">
        <f>TEXT(G2, "mmmm")</f>
        <v>November</v>
      </c>
      <c r="F2" s="4" t="str">
        <f>TEXT(G2, "dddd")</f>
        <v>Friday</v>
      </c>
      <c r="G2" s="3">
        <v>45254</v>
      </c>
      <c r="H2" s="4" t="s">
        <v>15</v>
      </c>
      <c r="I2" s="4" t="s">
        <v>16</v>
      </c>
      <c r="J2" s="4">
        <v>34</v>
      </c>
      <c r="K2" s="4" t="str" cm="1">
        <f t="array" ref="K2">_xlfn.IFS(J2&lt;30, "Young Adult", J2&lt;50, "Adult", J2&gt;=50, "Senior")</f>
        <v>Adult</v>
      </c>
      <c r="L2" s="4" t="s">
        <v>17</v>
      </c>
      <c r="M2" s="4">
        <v>3</v>
      </c>
      <c r="N2" s="5">
        <v>50</v>
      </c>
      <c r="O2">
        <f>M2*N2</f>
        <v>150</v>
      </c>
      <c r="P2" s="14">
        <f>O2*$S$3</f>
        <v>2.25</v>
      </c>
      <c r="S2" s="13" t="s">
        <v>18</v>
      </c>
    </row>
    <row r="3" spans="1:22">
      <c r="A3" s="2">
        <v>2</v>
      </c>
      <c r="B3" s="4">
        <f>YEAR(G3)</f>
        <v>2023</v>
      </c>
      <c r="C3" s="4">
        <f>MONTH(G3)</f>
        <v>2</v>
      </c>
      <c r="D3" s="4">
        <f>DAY(G3)</f>
        <v>27</v>
      </c>
      <c r="E3" s="4" t="str">
        <f>TEXT(G3, "mmmm")</f>
        <v>February</v>
      </c>
      <c r="F3" s="4" t="str">
        <f>TEXT(G3, "dddd")</f>
        <v>Monday</v>
      </c>
      <c r="G3" s="3">
        <v>44984</v>
      </c>
      <c r="H3" s="4" t="s">
        <v>19</v>
      </c>
      <c r="I3" s="4" t="s">
        <v>20</v>
      </c>
      <c r="J3" s="4">
        <v>26</v>
      </c>
      <c r="K3" s="4" t="str" cm="1">
        <f t="array" ref="K3">_xlfn.IFS(J3&lt;30, "Young Adult", J3&lt;50, "Adult", J3&gt;=50, "Senior")</f>
        <v>Young Adult</v>
      </c>
      <c r="L3" s="4" t="s">
        <v>21</v>
      </c>
      <c r="M3" s="4">
        <v>2</v>
      </c>
      <c r="N3" s="5">
        <v>500</v>
      </c>
      <c r="O3">
        <f>M3*N3</f>
        <v>1000</v>
      </c>
      <c r="P3" s="14">
        <f>O3*$S$3</f>
        <v>15</v>
      </c>
      <c r="R3" t="s">
        <v>22</v>
      </c>
      <c r="S3" s="13">
        <v>1.4999999999999999E-2</v>
      </c>
    </row>
    <row r="4" spans="1:22">
      <c r="A4" s="2">
        <v>3</v>
      </c>
      <c r="B4" s="4">
        <f>YEAR(G4)</f>
        <v>2023</v>
      </c>
      <c r="C4" s="4">
        <f>MONTH(G4)</f>
        <v>1</v>
      </c>
      <c r="D4" s="4">
        <f>DAY(G4)</f>
        <v>13</v>
      </c>
      <c r="E4" s="4" t="str">
        <f>TEXT(G4, "mmmm")</f>
        <v>January</v>
      </c>
      <c r="F4" s="4" t="str">
        <f>TEXT(G4, "dddd")</f>
        <v>Friday</v>
      </c>
      <c r="G4" s="3">
        <v>44939</v>
      </c>
      <c r="H4" s="4" t="s">
        <v>23</v>
      </c>
      <c r="I4" s="4" t="s">
        <v>16</v>
      </c>
      <c r="J4" s="4">
        <v>50</v>
      </c>
      <c r="K4" s="4" t="str" cm="1">
        <f t="array" ref="K4">_xlfn.IFS(J4&lt;30, "Young Adult", J4&lt;50, "Adult", J4&gt;=50, "Senior")</f>
        <v>Senior</v>
      </c>
      <c r="L4" s="4" t="s">
        <v>24</v>
      </c>
      <c r="M4" s="4">
        <v>1</v>
      </c>
      <c r="N4" s="5">
        <v>30</v>
      </c>
      <c r="O4">
        <f>M4*N4</f>
        <v>30</v>
      </c>
      <c r="P4" s="14">
        <f>O4*$S$3</f>
        <v>0.44999999999999996</v>
      </c>
      <c r="R4" t="s">
        <v>25</v>
      </c>
      <c r="S4" s="13">
        <v>0.02</v>
      </c>
    </row>
    <row r="5" spans="1:22">
      <c r="A5" s="2">
        <v>4</v>
      </c>
      <c r="B5" s="4">
        <f>YEAR(G5)</f>
        <v>2023</v>
      </c>
      <c r="C5" s="4">
        <f>MONTH(G5)</f>
        <v>5</v>
      </c>
      <c r="D5" s="4">
        <f>DAY(G5)</f>
        <v>21</v>
      </c>
      <c r="E5" s="4" t="str">
        <f>TEXT(G5, "mmmm")</f>
        <v>May</v>
      </c>
      <c r="F5" s="4" t="str">
        <f>TEXT(G5, "dddd")</f>
        <v>Sunday</v>
      </c>
      <c r="G5" s="3">
        <v>45067</v>
      </c>
      <c r="H5" s="4" t="s">
        <v>26</v>
      </c>
      <c r="I5" s="4" t="s">
        <v>16</v>
      </c>
      <c r="J5" s="4">
        <v>37</v>
      </c>
      <c r="K5" s="4" t="str" cm="1">
        <f t="array" ref="K5">_xlfn.IFS(J5&lt;30, "Young Adult", J5&lt;50, "Adult", J5&gt;=50, "Senior")</f>
        <v>Adult</v>
      </c>
      <c r="L5" s="4" t="s">
        <v>21</v>
      </c>
      <c r="M5" s="4">
        <v>1</v>
      </c>
      <c r="N5" s="5">
        <v>500</v>
      </c>
      <c r="O5">
        <f>M5*N5</f>
        <v>500</v>
      </c>
      <c r="P5" s="14">
        <f>O5*$S$3</f>
        <v>7.5</v>
      </c>
    </row>
    <row r="6" spans="1:22">
      <c r="A6" s="2">
        <v>5</v>
      </c>
      <c r="B6" s="4">
        <f>YEAR(G6)</f>
        <v>2023</v>
      </c>
      <c r="C6" s="4">
        <f>MONTH(G6)</f>
        <v>5</v>
      </c>
      <c r="D6" s="4">
        <f>DAY(G6)</f>
        <v>6</v>
      </c>
      <c r="E6" s="4" t="str">
        <f>TEXT(G6, "mmmm")</f>
        <v>May</v>
      </c>
      <c r="F6" s="4" t="str">
        <f>TEXT(G6, "dddd")</f>
        <v>Saturday</v>
      </c>
      <c r="G6" s="3">
        <v>45052</v>
      </c>
      <c r="H6" s="4" t="s">
        <v>27</v>
      </c>
      <c r="I6" s="4" t="s">
        <v>16</v>
      </c>
      <c r="J6" s="4">
        <v>30</v>
      </c>
      <c r="K6" s="4" t="str" cm="1">
        <f t="array" ref="K6">_xlfn.IFS(J6&lt;30, "Young Adult", J6&lt;50, "Adult", J6&gt;=50, "Senior")</f>
        <v>Adult</v>
      </c>
      <c r="L6" s="4" t="s">
        <v>17</v>
      </c>
      <c r="M6" s="4">
        <v>2</v>
      </c>
      <c r="N6" s="5">
        <v>50</v>
      </c>
      <c r="O6">
        <f>M6*N6</f>
        <v>100</v>
      </c>
      <c r="P6" s="14">
        <f>O6*$S$3</f>
        <v>1.5</v>
      </c>
    </row>
    <row r="7" spans="1:22">
      <c r="A7" s="2">
        <v>6</v>
      </c>
      <c r="B7" s="4">
        <f>YEAR(G7)</f>
        <v>2023</v>
      </c>
      <c r="C7" s="4">
        <f>MONTH(G7)</f>
        <v>4</v>
      </c>
      <c r="D7" s="4">
        <f>DAY(G7)</f>
        <v>25</v>
      </c>
      <c r="E7" s="4" t="str">
        <f>TEXT(G7, "mmmm")</f>
        <v>April</v>
      </c>
      <c r="F7" s="4" t="str">
        <f>TEXT(G7, "dddd")</f>
        <v>Tuesday</v>
      </c>
      <c r="G7" s="3">
        <v>45041</v>
      </c>
      <c r="H7" s="4" t="s">
        <v>28</v>
      </c>
      <c r="I7" s="4" t="s">
        <v>20</v>
      </c>
      <c r="J7" s="4">
        <v>45</v>
      </c>
      <c r="K7" s="4" t="str" cm="1">
        <f t="array" ref="K7">_xlfn.IFS(J7&lt;30, "Young Adult", J7&lt;50, "Adult", J7&gt;=50, "Senior")</f>
        <v>Adult</v>
      </c>
      <c r="L7" s="4" t="s">
        <v>17</v>
      </c>
      <c r="M7" s="4">
        <v>1</v>
      </c>
      <c r="N7" s="5">
        <v>30</v>
      </c>
      <c r="O7">
        <f>M7*N7</f>
        <v>30</v>
      </c>
      <c r="P7" s="14">
        <f>O7*$S$3</f>
        <v>0.44999999999999996</v>
      </c>
    </row>
    <row r="8" spans="1:22">
      <c r="A8" s="2">
        <v>7</v>
      </c>
      <c r="B8" s="4">
        <f>YEAR(G8)</f>
        <v>2023</v>
      </c>
      <c r="C8" s="4">
        <f>MONTH(G8)</f>
        <v>3</v>
      </c>
      <c r="D8" s="4">
        <f>DAY(G8)</f>
        <v>13</v>
      </c>
      <c r="E8" s="4" t="str">
        <f>TEXT(G8, "mmmm")</f>
        <v>March</v>
      </c>
      <c r="F8" s="4" t="str">
        <f>TEXT(G8, "dddd")</f>
        <v>Monday</v>
      </c>
      <c r="G8" s="3">
        <v>44998</v>
      </c>
      <c r="H8" s="4" t="s">
        <v>29</v>
      </c>
      <c r="I8" s="4" t="s">
        <v>16</v>
      </c>
      <c r="J8" s="4">
        <v>46</v>
      </c>
      <c r="K8" s="4" t="str" cm="1">
        <f t="array" ref="K8">_xlfn.IFS(J8&lt;30, "Young Adult", J8&lt;50, "Adult", J8&gt;=50, "Senior")</f>
        <v>Adult</v>
      </c>
      <c r="L8" s="4" t="s">
        <v>21</v>
      </c>
      <c r="M8" s="4">
        <v>2</v>
      </c>
      <c r="N8" s="5">
        <v>25</v>
      </c>
      <c r="O8">
        <f>M8*N8</f>
        <v>50</v>
      </c>
      <c r="P8" s="14">
        <f>O8*$S$3</f>
        <v>0.75</v>
      </c>
      <c r="S8" s="13" t="s">
        <v>30</v>
      </c>
      <c r="T8" t="s">
        <v>16</v>
      </c>
      <c r="U8" t="s">
        <v>20</v>
      </c>
      <c r="V8" t="s">
        <v>31</v>
      </c>
    </row>
    <row r="9" spans="1:22">
      <c r="A9" s="2">
        <v>8</v>
      </c>
      <c r="B9" s="4">
        <f>YEAR(G9)</f>
        <v>2023</v>
      </c>
      <c r="C9" s="4">
        <f>MONTH(G9)</f>
        <v>2</v>
      </c>
      <c r="D9" s="4">
        <f>DAY(G9)</f>
        <v>22</v>
      </c>
      <c r="E9" s="4" t="str">
        <f>TEXT(G9, "mmmm")</f>
        <v>February</v>
      </c>
      <c r="F9" s="4" t="str">
        <f>TEXT(G9, "dddd")</f>
        <v>Wednesday</v>
      </c>
      <c r="G9" s="3">
        <v>44979</v>
      </c>
      <c r="H9" s="4" t="s">
        <v>32</v>
      </c>
      <c r="I9" s="4" t="s">
        <v>16</v>
      </c>
      <c r="J9" s="4">
        <v>30</v>
      </c>
      <c r="K9" s="4" t="str" cm="1">
        <f t="array" ref="K9">_xlfn.IFS(J9&lt;30, "Young Adult", J9&lt;50, "Adult", J9&gt;=50, "Senior")</f>
        <v>Adult</v>
      </c>
      <c r="L9" s="4" t="s">
        <v>24</v>
      </c>
      <c r="M9" s="4">
        <v>4</v>
      </c>
      <c r="N9" s="5">
        <v>25</v>
      </c>
      <c r="O9">
        <f>M9*N9</f>
        <v>100</v>
      </c>
      <c r="P9" s="14">
        <f>O9*$S$3</f>
        <v>1.5</v>
      </c>
      <c r="R9" t="s">
        <v>33</v>
      </c>
      <c r="S9" s="15">
        <f>SUM(O:O)</f>
        <v>456000</v>
      </c>
      <c r="T9">
        <f>SUM(T10:T12)</f>
        <v>1216</v>
      </c>
      <c r="U9">
        <f>SUM(U10:U12)</f>
        <v>1298</v>
      </c>
      <c r="V9">
        <f>AVERAGE(O:O)</f>
        <v>456</v>
      </c>
    </row>
    <row r="10" spans="1:22">
      <c r="A10" s="2">
        <v>9</v>
      </c>
      <c r="B10" s="4">
        <f>YEAR(G10)</f>
        <v>2023</v>
      </c>
      <c r="C10" s="4">
        <f>MONTH(G10)</f>
        <v>12</v>
      </c>
      <c r="D10" s="4">
        <f>DAY(G10)</f>
        <v>13</v>
      </c>
      <c r="E10" s="4" t="str">
        <f>TEXT(G10, "mmmm")</f>
        <v>December</v>
      </c>
      <c r="F10" s="4" t="str">
        <f>TEXT(G10, "dddd")</f>
        <v>Wednesday</v>
      </c>
      <c r="G10" s="3">
        <v>45273</v>
      </c>
      <c r="H10" s="4" t="s">
        <v>34</v>
      </c>
      <c r="I10" s="4" t="s">
        <v>16</v>
      </c>
      <c r="J10" s="4">
        <v>63</v>
      </c>
      <c r="K10" s="4" t="str" cm="1">
        <f t="array" ref="K10">_xlfn.IFS(J10&lt;30, "Young Adult", J10&lt;50, "Adult", J10&gt;=50, "Senior")</f>
        <v>Senior</v>
      </c>
      <c r="L10" s="4" t="s">
        <v>24</v>
      </c>
      <c r="M10" s="4">
        <v>2</v>
      </c>
      <c r="N10" s="5">
        <v>300</v>
      </c>
      <c r="O10">
        <f>M10*N10</f>
        <v>600</v>
      </c>
      <c r="P10" s="14">
        <f>O10*$S$3</f>
        <v>9</v>
      </c>
      <c r="R10" t="s">
        <v>21</v>
      </c>
      <c r="S10" s="15">
        <f>SUMIF(L:L, "clothing", O:O)</f>
        <v>155580</v>
      </c>
      <c r="T10">
        <f>SUMIFS(M:M, L:L, "Clothing", I:I, "Male")</f>
        <v>453</v>
      </c>
      <c r="U10">
        <f>SUMIFS(M:M, L:L, "Clothing", I:I, "Female")</f>
        <v>441</v>
      </c>
      <c r="V10" s="15">
        <f>AVERAGEIF($L:$L, R10, $O:$O)</f>
        <v>443.24786324786322</v>
      </c>
    </row>
    <row r="11" spans="1:22">
      <c r="A11" s="2">
        <v>10</v>
      </c>
      <c r="B11" s="4">
        <f>YEAR(G11)</f>
        <v>2023</v>
      </c>
      <c r="C11" s="4">
        <f>MONTH(G11)</f>
        <v>10</v>
      </c>
      <c r="D11" s="4">
        <f>DAY(G11)</f>
        <v>7</v>
      </c>
      <c r="E11" s="4" t="str">
        <f>TEXT(G11, "mmmm")</f>
        <v>October</v>
      </c>
      <c r="F11" s="4" t="str">
        <f>TEXT(G11, "dddd")</f>
        <v>Saturday</v>
      </c>
      <c r="G11" s="3">
        <v>45206</v>
      </c>
      <c r="H11" s="4" t="s">
        <v>35</v>
      </c>
      <c r="I11" s="4" t="s">
        <v>20</v>
      </c>
      <c r="J11" s="4">
        <v>52</v>
      </c>
      <c r="K11" s="4" t="str" cm="1">
        <f t="array" ref="K11">_xlfn.IFS(J11&lt;30, "Young Adult", J11&lt;50, "Adult", J11&gt;=50, "Senior")</f>
        <v>Senior</v>
      </c>
      <c r="L11" s="4" t="s">
        <v>21</v>
      </c>
      <c r="M11" s="4">
        <v>4</v>
      </c>
      <c r="N11" s="5">
        <v>50</v>
      </c>
      <c r="O11">
        <f>M11*N11</f>
        <v>200</v>
      </c>
      <c r="P11" s="14">
        <f>O11*$S$3</f>
        <v>3</v>
      </c>
      <c r="R11" t="s">
        <v>17</v>
      </c>
      <c r="S11" s="15">
        <f>SUMIF(L:L, "Beauty", O:O)</f>
        <v>143515</v>
      </c>
      <c r="T11">
        <f>SUMIFS(M:M, L:L, "Beauty", I:I, "Male")</f>
        <v>353</v>
      </c>
      <c r="U11">
        <f>SUMIFS(M:M, L:L, "Beauty", I:I, "Female")</f>
        <v>418</v>
      </c>
      <c r="V11" s="15">
        <f t="shared" ref="V11:V12" si="0">AVERAGEIF($L:$L, R11, $O:$O)</f>
        <v>467.47557003257327</v>
      </c>
    </row>
    <row r="12" spans="1:22">
      <c r="A12" s="2">
        <v>11</v>
      </c>
      <c r="B12" s="4">
        <f>YEAR(G12)</f>
        <v>2023</v>
      </c>
      <c r="C12" s="4">
        <f>MONTH(G12)</f>
        <v>2</v>
      </c>
      <c r="D12" s="4">
        <f>DAY(G12)</f>
        <v>14</v>
      </c>
      <c r="E12" s="4" t="str">
        <f>TEXT(G12, "mmmm")</f>
        <v>February</v>
      </c>
      <c r="F12" s="4" t="str">
        <f>TEXT(G12, "dddd")</f>
        <v>Tuesday</v>
      </c>
      <c r="G12" s="3">
        <v>44971</v>
      </c>
      <c r="H12" s="4" t="s">
        <v>36</v>
      </c>
      <c r="I12" s="4" t="s">
        <v>16</v>
      </c>
      <c r="J12" s="4">
        <v>23</v>
      </c>
      <c r="K12" s="4" t="str" cm="1">
        <f t="array" ref="K12">_xlfn.IFS(J12&lt;30, "Young Adult", J12&lt;50, "Adult", J12&gt;=50, "Senior")</f>
        <v>Young Adult</v>
      </c>
      <c r="L12" s="4" t="s">
        <v>21</v>
      </c>
      <c r="M12" s="4">
        <v>2</v>
      </c>
      <c r="N12" s="5">
        <v>50</v>
      </c>
      <c r="O12">
        <f>M12*N12</f>
        <v>100</v>
      </c>
      <c r="P12" s="14">
        <f>O12*$S$3</f>
        <v>1.5</v>
      </c>
      <c r="R12" t="s">
        <v>24</v>
      </c>
      <c r="S12" s="15">
        <f>SUMIF(L:L, "Electronics", O:O)</f>
        <v>156905</v>
      </c>
      <c r="T12">
        <f>SUMIFS(M:M, L:L, "electronics", I:I, "Male")</f>
        <v>410</v>
      </c>
      <c r="U12">
        <f>SUMIFS(M:M, L:L, "electronics", I:I, "Female")</f>
        <v>439</v>
      </c>
      <c r="V12" s="15">
        <f t="shared" si="0"/>
        <v>458.78654970760232</v>
      </c>
    </row>
    <row r="13" spans="1:22">
      <c r="A13" s="2">
        <v>12</v>
      </c>
      <c r="B13" s="4">
        <f>YEAR(G13)</f>
        <v>2023</v>
      </c>
      <c r="C13" s="4">
        <f>MONTH(G13)</f>
        <v>10</v>
      </c>
      <c r="D13" s="4">
        <f>DAY(G13)</f>
        <v>30</v>
      </c>
      <c r="E13" s="4" t="str">
        <f>TEXT(G13, "mmmm")</f>
        <v>October</v>
      </c>
      <c r="F13" s="4" t="str">
        <f>TEXT(G13, "dddd")</f>
        <v>Monday</v>
      </c>
      <c r="G13" s="3">
        <v>45229</v>
      </c>
      <c r="H13" s="4" t="s">
        <v>37</v>
      </c>
      <c r="I13" s="4" t="s">
        <v>16</v>
      </c>
      <c r="J13" s="4">
        <v>35</v>
      </c>
      <c r="K13" s="4" t="str" cm="1">
        <f t="array" ref="K13">_xlfn.IFS(J13&lt;30, "Young Adult", J13&lt;50, "Adult", J13&gt;=50, "Senior")</f>
        <v>Adult</v>
      </c>
      <c r="L13" s="4" t="s">
        <v>17</v>
      </c>
      <c r="M13" s="4">
        <v>3</v>
      </c>
      <c r="N13" s="5">
        <v>25</v>
      </c>
      <c r="O13">
        <f>M13*N13</f>
        <v>75</v>
      </c>
      <c r="P13" s="14">
        <f>O13*$S$3</f>
        <v>1.125</v>
      </c>
    </row>
    <row r="14" spans="1:22">
      <c r="A14" s="2">
        <v>13</v>
      </c>
      <c r="B14" s="4">
        <f>YEAR(G14)</f>
        <v>2023</v>
      </c>
      <c r="C14" s="4">
        <f>MONTH(G14)</f>
        <v>8</v>
      </c>
      <c r="D14" s="4">
        <f>DAY(G14)</f>
        <v>5</v>
      </c>
      <c r="E14" s="4" t="str">
        <f>TEXT(G14, "mmmm")</f>
        <v>August</v>
      </c>
      <c r="F14" s="4" t="str">
        <f>TEXT(G14, "dddd")</f>
        <v>Saturday</v>
      </c>
      <c r="G14" s="3">
        <v>45143</v>
      </c>
      <c r="H14" s="4" t="s">
        <v>38</v>
      </c>
      <c r="I14" s="4" t="s">
        <v>16</v>
      </c>
      <c r="J14" s="4">
        <v>22</v>
      </c>
      <c r="K14" s="4" t="str" cm="1">
        <f t="array" ref="K14">_xlfn.IFS(J14&lt;30, "Young Adult", J14&lt;50, "Adult", J14&gt;=50, "Senior")</f>
        <v>Young Adult</v>
      </c>
      <c r="L14" s="4" t="s">
        <v>24</v>
      </c>
      <c r="M14" s="4">
        <v>3</v>
      </c>
      <c r="N14" s="5">
        <v>500</v>
      </c>
      <c r="O14">
        <f>M14*N14</f>
        <v>1500</v>
      </c>
      <c r="P14" s="14">
        <f>O14*$S$3</f>
        <v>22.5</v>
      </c>
      <c r="R14" t="str" cm="1">
        <f t="array" ref="R14:R16">_xlfn.UNIQUE(L2:L1001)</f>
        <v>Beauty</v>
      </c>
    </row>
    <row r="15" spans="1:22">
      <c r="A15" s="2">
        <v>14</v>
      </c>
      <c r="B15" s="4">
        <f>YEAR(G15)</f>
        <v>2023</v>
      </c>
      <c r="C15" s="4">
        <f>MONTH(G15)</f>
        <v>1</v>
      </c>
      <c r="D15" s="4">
        <f>DAY(G15)</f>
        <v>17</v>
      </c>
      <c r="E15" s="4" t="str">
        <f>TEXT(G15, "mmmm")</f>
        <v>January</v>
      </c>
      <c r="F15" s="4" t="str">
        <f>TEXT(G15, "dddd")</f>
        <v>Tuesday</v>
      </c>
      <c r="G15" s="3">
        <v>44943</v>
      </c>
      <c r="H15" s="4" t="s">
        <v>39</v>
      </c>
      <c r="I15" s="4" t="s">
        <v>16</v>
      </c>
      <c r="J15" s="4">
        <v>64</v>
      </c>
      <c r="K15" s="4" t="str" cm="1">
        <f t="array" ref="K15">_xlfn.IFS(J15&lt;30, "Young Adult", J15&lt;50, "Adult", J15&gt;=50, "Senior")</f>
        <v>Senior</v>
      </c>
      <c r="L15" s="4" t="s">
        <v>21</v>
      </c>
      <c r="M15" s="4">
        <v>4</v>
      </c>
      <c r="N15" s="5">
        <v>30</v>
      </c>
      <c r="O15">
        <f>M15*N15</f>
        <v>120</v>
      </c>
      <c r="P15" s="14">
        <f>O15*$S$3</f>
        <v>1.7999999999999998</v>
      </c>
      <c r="R15" t="str">
        <v>Clothing</v>
      </c>
    </row>
    <row r="16" spans="1:22">
      <c r="A16" s="2">
        <v>15</v>
      </c>
      <c r="B16" s="4">
        <f>YEAR(G16)</f>
        <v>2023</v>
      </c>
      <c r="C16" s="4">
        <f>MONTH(G16)</f>
        <v>1</v>
      </c>
      <c r="D16" s="4">
        <f>DAY(G16)</f>
        <v>16</v>
      </c>
      <c r="E16" s="4" t="str">
        <f>TEXT(G16, "mmmm")</f>
        <v>January</v>
      </c>
      <c r="F16" s="4" t="str">
        <f>TEXT(G16, "dddd")</f>
        <v>Monday</v>
      </c>
      <c r="G16" s="3">
        <v>44942</v>
      </c>
      <c r="H16" s="4" t="s">
        <v>40</v>
      </c>
      <c r="I16" s="4" t="s">
        <v>20</v>
      </c>
      <c r="J16" s="4">
        <v>42</v>
      </c>
      <c r="K16" s="4" t="str" cm="1">
        <f t="array" ref="K16">_xlfn.IFS(J16&lt;30, "Young Adult", J16&lt;50, "Adult", J16&gt;=50, "Senior")</f>
        <v>Adult</v>
      </c>
      <c r="L16" s="4" t="s">
        <v>24</v>
      </c>
      <c r="M16" s="4">
        <v>4</v>
      </c>
      <c r="N16" s="5">
        <v>500</v>
      </c>
      <c r="O16">
        <f>M16*N16</f>
        <v>2000</v>
      </c>
      <c r="P16" s="14">
        <f>O16*$S$3</f>
        <v>30</v>
      </c>
      <c r="R16" t="str">
        <v>Electronics</v>
      </c>
    </row>
    <row r="17" spans="1:19">
      <c r="A17" s="2">
        <v>16</v>
      </c>
      <c r="B17" s="4">
        <f>YEAR(G17)</f>
        <v>2023</v>
      </c>
      <c r="C17" s="4">
        <f>MONTH(G17)</f>
        <v>2</v>
      </c>
      <c r="D17" s="4">
        <f>DAY(G17)</f>
        <v>17</v>
      </c>
      <c r="E17" s="4" t="str">
        <f>TEXT(G17, "mmmm")</f>
        <v>February</v>
      </c>
      <c r="F17" s="4" t="str">
        <f>TEXT(G17, "dddd")</f>
        <v>Friday</v>
      </c>
      <c r="G17" s="3">
        <v>44974</v>
      </c>
      <c r="H17" s="4" t="s">
        <v>41</v>
      </c>
      <c r="I17" s="4" t="s">
        <v>16</v>
      </c>
      <c r="J17" s="4">
        <v>19</v>
      </c>
      <c r="K17" s="4" t="str" cm="1">
        <f t="array" ref="K17">_xlfn.IFS(J17&lt;30, "Young Adult", J17&lt;50, "Adult", J17&gt;=50, "Senior")</f>
        <v>Young Adult</v>
      </c>
      <c r="L17" s="4" t="s">
        <v>21</v>
      </c>
      <c r="M17" s="4">
        <v>3</v>
      </c>
      <c r="N17" s="5">
        <v>500</v>
      </c>
      <c r="O17">
        <f>M17*N17</f>
        <v>1500</v>
      </c>
      <c r="P17" s="14">
        <f>O17*$S$3</f>
        <v>22.5</v>
      </c>
    </row>
    <row r="18" spans="1:19">
      <c r="A18" s="2">
        <v>17</v>
      </c>
      <c r="B18" s="4">
        <f>YEAR(G18)</f>
        <v>2023</v>
      </c>
      <c r="C18" s="4">
        <f>MONTH(G18)</f>
        <v>4</v>
      </c>
      <c r="D18" s="4">
        <f>DAY(G18)</f>
        <v>22</v>
      </c>
      <c r="E18" s="4" t="str">
        <f>TEXT(G18, "mmmm")</f>
        <v>April</v>
      </c>
      <c r="F18" s="4" t="str">
        <f>TEXT(G18, "dddd")</f>
        <v>Saturday</v>
      </c>
      <c r="G18" s="3">
        <v>45038</v>
      </c>
      <c r="H18" s="4" t="s">
        <v>42</v>
      </c>
      <c r="I18" s="4" t="s">
        <v>20</v>
      </c>
      <c r="J18" s="4">
        <v>27</v>
      </c>
      <c r="K18" s="4" t="str" cm="1">
        <f t="array" ref="K18">_xlfn.IFS(J18&lt;30, "Young Adult", J18&lt;50, "Adult", J18&gt;=50, "Senior")</f>
        <v>Young Adult</v>
      </c>
      <c r="L18" s="4" t="s">
        <v>21</v>
      </c>
      <c r="M18" s="4">
        <v>4</v>
      </c>
      <c r="N18" s="5">
        <v>25</v>
      </c>
      <c r="O18">
        <f>M18*N18</f>
        <v>100</v>
      </c>
      <c r="P18" s="14">
        <f>O18*$S$3</f>
        <v>1.5</v>
      </c>
      <c r="R18" t="s">
        <v>43</v>
      </c>
      <c r="S18" s="15">
        <f>SUM(P:P)</f>
        <v>6840</v>
      </c>
    </row>
    <row r="19" spans="1:19">
      <c r="A19" s="2">
        <v>18</v>
      </c>
      <c r="B19" s="4">
        <f>YEAR(G19)</f>
        <v>2023</v>
      </c>
      <c r="C19" s="4">
        <f>MONTH(G19)</f>
        <v>4</v>
      </c>
      <c r="D19" s="4">
        <f>DAY(G19)</f>
        <v>30</v>
      </c>
      <c r="E19" s="4" t="str">
        <f>TEXT(G19, "mmmm")</f>
        <v>April</v>
      </c>
      <c r="F19" s="4" t="str">
        <f>TEXT(G19, "dddd")</f>
        <v>Sunday</v>
      </c>
      <c r="G19" s="3">
        <v>45046</v>
      </c>
      <c r="H19" s="4" t="s">
        <v>44</v>
      </c>
      <c r="I19" s="4" t="s">
        <v>20</v>
      </c>
      <c r="J19" s="4">
        <v>47</v>
      </c>
      <c r="K19" s="4" t="str" cm="1">
        <f t="array" ref="K19">_xlfn.IFS(J19&lt;30, "Young Adult", J19&lt;50, "Adult", J19&gt;=50, "Senior")</f>
        <v>Adult</v>
      </c>
      <c r="L19" s="4" t="s">
        <v>24</v>
      </c>
      <c r="M19" s="4">
        <v>2</v>
      </c>
      <c r="N19" s="5">
        <v>25</v>
      </c>
      <c r="O19">
        <f>M19*N19</f>
        <v>50</v>
      </c>
      <c r="P19" s="14">
        <f>O19*$S$3</f>
        <v>0.75</v>
      </c>
      <c r="R19" t="s">
        <v>45</v>
      </c>
      <c r="S19" s="15">
        <f>AVERAGE(P:P)</f>
        <v>6.84</v>
      </c>
    </row>
    <row r="20" spans="1:19">
      <c r="A20" s="2">
        <v>19</v>
      </c>
      <c r="B20" s="4">
        <f>YEAR(G20)</f>
        <v>2023</v>
      </c>
      <c r="C20" s="4">
        <f>MONTH(G20)</f>
        <v>9</v>
      </c>
      <c r="D20" s="4">
        <f>DAY(G20)</f>
        <v>16</v>
      </c>
      <c r="E20" s="4" t="str">
        <f>TEXT(G20, "mmmm")</f>
        <v>September</v>
      </c>
      <c r="F20" s="4" t="str">
        <f>TEXT(G20, "dddd")</f>
        <v>Saturday</v>
      </c>
      <c r="G20" s="3">
        <v>45185</v>
      </c>
      <c r="H20" s="4" t="s">
        <v>46</v>
      </c>
      <c r="I20" s="4" t="s">
        <v>20</v>
      </c>
      <c r="J20" s="4">
        <v>62</v>
      </c>
      <c r="K20" s="4" t="str" cm="1">
        <f t="array" ref="K20">_xlfn.IFS(J20&lt;30, "Young Adult", J20&lt;50, "Adult", J20&gt;=50, "Senior")</f>
        <v>Senior</v>
      </c>
      <c r="L20" s="4" t="s">
        <v>21</v>
      </c>
      <c r="M20" s="4">
        <v>2</v>
      </c>
      <c r="N20" s="5">
        <v>25</v>
      </c>
      <c r="O20">
        <f>M20*N20</f>
        <v>50</v>
      </c>
      <c r="P20" s="14">
        <f>O20*$S$3</f>
        <v>0.75</v>
      </c>
    </row>
    <row r="21" spans="1:19">
      <c r="A21" s="2">
        <v>20</v>
      </c>
      <c r="B21" s="4">
        <f>YEAR(G21)</f>
        <v>2023</v>
      </c>
      <c r="C21" s="4">
        <f>MONTH(G21)</f>
        <v>11</v>
      </c>
      <c r="D21" s="4">
        <f>DAY(G21)</f>
        <v>5</v>
      </c>
      <c r="E21" s="4" t="str">
        <f>TEXT(G21, "mmmm")</f>
        <v>November</v>
      </c>
      <c r="F21" s="4" t="str">
        <f>TEXT(G21, "dddd")</f>
        <v>Sunday</v>
      </c>
      <c r="G21" s="3">
        <v>45235</v>
      </c>
      <c r="H21" s="4" t="s">
        <v>47</v>
      </c>
      <c r="I21" s="4" t="s">
        <v>16</v>
      </c>
      <c r="J21" s="4">
        <v>22</v>
      </c>
      <c r="K21" s="4" t="str" cm="1">
        <f t="array" ref="K21">_xlfn.IFS(J21&lt;30, "Young Adult", J21&lt;50, "Adult", J21&gt;=50, "Senior")</f>
        <v>Young Adult</v>
      </c>
      <c r="L21" s="4" t="s">
        <v>21</v>
      </c>
      <c r="M21" s="4">
        <v>3</v>
      </c>
      <c r="N21" s="5">
        <v>300</v>
      </c>
      <c r="O21">
        <f>M21*N21</f>
        <v>900</v>
      </c>
      <c r="P21" s="14">
        <f>O21*$S$3</f>
        <v>13.5</v>
      </c>
    </row>
    <row r="22" spans="1:19">
      <c r="A22" s="2">
        <v>21</v>
      </c>
      <c r="B22" s="4">
        <f>YEAR(G22)</f>
        <v>2023</v>
      </c>
      <c r="C22" s="4">
        <f>MONTH(G22)</f>
        <v>1</v>
      </c>
      <c r="D22" s="4">
        <f>DAY(G22)</f>
        <v>14</v>
      </c>
      <c r="E22" s="4" t="str">
        <f>TEXT(G22, "mmmm")</f>
        <v>January</v>
      </c>
      <c r="F22" s="4" t="str">
        <f>TEXT(G22, "dddd")</f>
        <v>Saturday</v>
      </c>
      <c r="G22" s="3">
        <v>44940</v>
      </c>
      <c r="H22" s="4" t="s">
        <v>48</v>
      </c>
      <c r="I22" s="4" t="s">
        <v>20</v>
      </c>
      <c r="J22" s="4">
        <v>50</v>
      </c>
      <c r="K22" s="4" t="str" cm="1">
        <f t="array" ref="K22">_xlfn.IFS(J22&lt;30, "Young Adult", J22&lt;50, "Adult", J22&gt;=50, "Senior")</f>
        <v>Senior</v>
      </c>
      <c r="L22" s="4" t="s">
        <v>17</v>
      </c>
      <c r="M22" s="4">
        <v>1</v>
      </c>
      <c r="N22" s="5">
        <v>500</v>
      </c>
      <c r="O22">
        <f>M22*N22</f>
        <v>500</v>
      </c>
      <c r="P22" s="14">
        <f>O22*$S$3</f>
        <v>7.5</v>
      </c>
    </row>
    <row r="23" spans="1:19">
      <c r="A23" s="2">
        <v>22</v>
      </c>
      <c r="B23" s="4">
        <f>YEAR(G23)</f>
        <v>2023</v>
      </c>
      <c r="C23" s="4">
        <f>MONTH(G23)</f>
        <v>10</v>
      </c>
      <c r="D23" s="4">
        <f>DAY(G23)</f>
        <v>15</v>
      </c>
      <c r="E23" s="4" t="str">
        <f>TEXT(G23, "mmmm")</f>
        <v>October</v>
      </c>
      <c r="F23" s="4" t="str">
        <f>TEXT(G23, "dddd")</f>
        <v>Sunday</v>
      </c>
      <c r="G23" s="3">
        <v>45214</v>
      </c>
      <c r="H23" s="4" t="s">
        <v>49</v>
      </c>
      <c r="I23" s="4" t="s">
        <v>16</v>
      </c>
      <c r="J23" s="4">
        <v>18</v>
      </c>
      <c r="K23" s="4" t="str" cm="1">
        <f t="array" ref="K23">_xlfn.IFS(J23&lt;30, "Young Adult", J23&lt;50, "Adult", J23&gt;=50, "Senior")</f>
        <v>Young Adult</v>
      </c>
      <c r="L23" s="4" t="s">
        <v>21</v>
      </c>
      <c r="M23" s="4">
        <v>2</v>
      </c>
      <c r="N23" s="5">
        <v>50</v>
      </c>
      <c r="O23">
        <f>M23*N23</f>
        <v>100</v>
      </c>
      <c r="P23" s="14">
        <f>O23*$S$3</f>
        <v>1.5</v>
      </c>
    </row>
    <row r="24" spans="1:19">
      <c r="A24" s="2">
        <v>23</v>
      </c>
      <c r="B24" s="4">
        <f>YEAR(G24)</f>
        <v>2023</v>
      </c>
      <c r="C24" s="4">
        <f>MONTH(G24)</f>
        <v>4</v>
      </c>
      <c r="D24" s="4">
        <f>DAY(G24)</f>
        <v>12</v>
      </c>
      <c r="E24" s="4" t="str">
        <f>TEXT(G24, "mmmm")</f>
        <v>April</v>
      </c>
      <c r="F24" s="4" t="str">
        <f>TEXT(G24, "dddd")</f>
        <v>Wednesday</v>
      </c>
      <c r="G24" s="3">
        <v>45028</v>
      </c>
      <c r="H24" s="4" t="s">
        <v>50</v>
      </c>
      <c r="I24" s="4" t="s">
        <v>20</v>
      </c>
      <c r="J24" s="4">
        <v>35</v>
      </c>
      <c r="K24" s="4" t="str" cm="1">
        <f t="array" ref="K24">_xlfn.IFS(J24&lt;30, "Young Adult", J24&lt;50, "Adult", J24&gt;=50, "Senior")</f>
        <v>Adult</v>
      </c>
      <c r="L24" s="4" t="s">
        <v>21</v>
      </c>
      <c r="M24" s="4">
        <v>4</v>
      </c>
      <c r="N24" s="5">
        <v>30</v>
      </c>
      <c r="O24">
        <f>M24*N24</f>
        <v>120</v>
      </c>
      <c r="P24" s="14">
        <f>O24*$S$3</f>
        <v>1.7999999999999998</v>
      </c>
    </row>
    <row r="25" spans="1:19">
      <c r="A25" s="2">
        <v>24</v>
      </c>
      <c r="B25" s="4">
        <f>YEAR(G25)</f>
        <v>2023</v>
      </c>
      <c r="C25" s="4">
        <f>MONTH(G25)</f>
        <v>11</v>
      </c>
      <c r="D25" s="4">
        <f>DAY(G25)</f>
        <v>29</v>
      </c>
      <c r="E25" s="4" t="str">
        <f>TEXT(G25, "mmmm")</f>
        <v>November</v>
      </c>
      <c r="F25" s="4" t="str">
        <f>TEXT(G25, "dddd")</f>
        <v>Wednesday</v>
      </c>
      <c r="G25" s="3">
        <v>45259</v>
      </c>
      <c r="H25" s="4" t="s">
        <v>51</v>
      </c>
      <c r="I25" s="4" t="s">
        <v>20</v>
      </c>
      <c r="J25" s="4">
        <v>49</v>
      </c>
      <c r="K25" s="4" t="str" cm="1">
        <f t="array" ref="K25">_xlfn.IFS(J25&lt;30, "Young Adult", J25&lt;50, "Adult", J25&gt;=50, "Senior")</f>
        <v>Adult</v>
      </c>
      <c r="L25" s="4" t="s">
        <v>21</v>
      </c>
      <c r="M25" s="4">
        <v>1</v>
      </c>
      <c r="N25" s="5">
        <v>300</v>
      </c>
      <c r="O25">
        <f>M25*N25</f>
        <v>300</v>
      </c>
      <c r="P25" s="14">
        <f>O25*$S$3</f>
        <v>4.5</v>
      </c>
    </row>
    <row r="26" spans="1:19">
      <c r="A26" s="2">
        <v>25</v>
      </c>
      <c r="B26" s="4">
        <f>YEAR(G26)</f>
        <v>2023</v>
      </c>
      <c r="C26" s="4">
        <f>MONTH(G26)</f>
        <v>12</v>
      </c>
      <c r="D26" s="4">
        <f>DAY(G26)</f>
        <v>26</v>
      </c>
      <c r="E26" s="4" t="str">
        <f>TEXT(G26, "mmmm")</f>
        <v>December</v>
      </c>
      <c r="F26" s="4" t="str">
        <f>TEXT(G26, "dddd")</f>
        <v>Tuesday</v>
      </c>
      <c r="G26" s="3">
        <v>45286</v>
      </c>
      <c r="H26" s="4" t="s">
        <v>52</v>
      </c>
      <c r="I26" s="4" t="s">
        <v>20</v>
      </c>
      <c r="J26" s="4">
        <v>64</v>
      </c>
      <c r="K26" s="4" t="str" cm="1">
        <f t="array" ref="K26">_xlfn.IFS(J26&lt;30, "Young Adult", J26&lt;50, "Adult", J26&gt;=50, "Senior")</f>
        <v>Senior</v>
      </c>
      <c r="L26" s="4" t="s">
        <v>17</v>
      </c>
      <c r="M26" s="4">
        <v>1</v>
      </c>
      <c r="N26" s="5">
        <v>50</v>
      </c>
      <c r="O26">
        <f>M26*N26</f>
        <v>50</v>
      </c>
      <c r="P26" s="14">
        <f>O26*$S$3</f>
        <v>0.75</v>
      </c>
    </row>
    <row r="27" spans="1:19">
      <c r="A27" s="2">
        <v>26</v>
      </c>
      <c r="B27" s="4">
        <f>YEAR(G27)</f>
        <v>2023</v>
      </c>
      <c r="C27" s="4">
        <f>MONTH(G27)</f>
        <v>10</v>
      </c>
      <c r="D27" s="4">
        <f>DAY(G27)</f>
        <v>7</v>
      </c>
      <c r="E27" s="4" t="str">
        <f>TEXT(G27, "mmmm")</f>
        <v>October</v>
      </c>
      <c r="F27" s="4" t="str">
        <f>TEXT(G27, "dddd")</f>
        <v>Saturday</v>
      </c>
      <c r="G27" s="3">
        <v>45206</v>
      </c>
      <c r="H27" s="4" t="s">
        <v>53</v>
      </c>
      <c r="I27" s="4" t="s">
        <v>20</v>
      </c>
      <c r="J27" s="4">
        <v>28</v>
      </c>
      <c r="K27" s="4" t="str" cm="1">
        <f t="array" ref="K27">_xlfn.IFS(J27&lt;30, "Young Adult", J27&lt;50, "Adult", J27&gt;=50, "Senior")</f>
        <v>Young Adult</v>
      </c>
      <c r="L27" s="4" t="s">
        <v>24</v>
      </c>
      <c r="M27" s="4">
        <v>2</v>
      </c>
      <c r="N27" s="5">
        <v>500</v>
      </c>
      <c r="O27">
        <f>M27*N27</f>
        <v>1000</v>
      </c>
      <c r="P27" s="14">
        <f>O27*$S$3</f>
        <v>15</v>
      </c>
    </row>
    <row r="28" spans="1:19">
      <c r="A28" s="2">
        <v>27</v>
      </c>
      <c r="B28" s="4">
        <f>YEAR(G28)</f>
        <v>2023</v>
      </c>
      <c r="C28" s="4">
        <f>MONTH(G28)</f>
        <v>8</v>
      </c>
      <c r="D28" s="4">
        <f>DAY(G28)</f>
        <v>3</v>
      </c>
      <c r="E28" s="4" t="str">
        <f>TEXT(G28, "mmmm")</f>
        <v>August</v>
      </c>
      <c r="F28" s="4" t="str">
        <f>TEXT(G28, "dddd")</f>
        <v>Thursday</v>
      </c>
      <c r="G28" s="3">
        <v>45141</v>
      </c>
      <c r="H28" s="4" t="s">
        <v>54</v>
      </c>
      <c r="I28" s="4" t="s">
        <v>20</v>
      </c>
      <c r="J28" s="4">
        <v>38</v>
      </c>
      <c r="K28" s="4" t="str" cm="1">
        <f t="array" ref="K28">_xlfn.IFS(J28&lt;30, "Young Adult", J28&lt;50, "Adult", J28&gt;=50, "Senior")</f>
        <v>Adult</v>
      </c>
      <c r="L28" s="4" t="s">
        <v>17</v>
      </c>
      <c r="M28" s="4">
        <v>2</v>
      </c>
      <c r="N28" s="5">
        <v>25</v>
      </c>
      <c r="O28">
        <f>M28*N28</f>
        <v>50</v>
      </c>
      <c r="P28" s="14">
        <f>O28*$S$3</f>
        <v>0.75</v>
      </c>
    </row>
    <row r="29" spans="1:19">
      <c r="A29" s="2">
        <v>28</v>
      </c>
      <c r="B29" s="4">
        <f>YEAR(G29)</f>
        <v>2023</v>
      </c>
      <c r="C29" s="4">
        <f>MONTH(G29)</f>
        <v>4</v>
      </c>
      <c r="D29" s="4">
        <f>DAY(G29)</f>
        <v>23</v>
      </c>
      <c r="E29" s="4" t="str">
        <f>TEXT(G29, "mmmm")</f>
        <v>April</v>
      </c>
      <c r="F29" s="4" t="str">
        <f>TEXT(G29, "dddd")</f>
        <v>Sunday</v>
      </c>
      <c r="G29" s="3">
        <v>45039</v>
      </c>
      <c r="H29" s="4" t="s">
        <v>55</v>
      </c>
      <c r="I29" s="4" t="s">
        <v>20</v>
      </c>
      <c r="J29" s="4">
        <v>43</v>
      </c>
      <c r="K29" s="4" t="str" cm="1">
        <f t="array" ref="K29">_xlfn.IFS(J29&lt;30, "Young Adult", J29&lt;50, "Adult", J29&gt;=50, "Senior")</f>
        <v>Adult</v>
      </c>
      <c r="L29" s="4" t="s">
        <v>17</v>
      </c>
      <c r="M29" s="4">
        <v>1</v>
      </c>
      <c r="N29" s="5">
        <v>500</v>
      </c>
      <c r="O29">
        <f>M29*N29</f>
        <v>500</v>
      </c>
      <c r="P29" s="14">
        <f>O29*$S$3</f>
        <v>7.5</v>
      </c>
    </row>
    <row r="30" spans="1:19">
      <c r="A30" s="2">
        <v>29</v>
      </c>
      <c r="B30" s="4">
        <f>YEAR(G30)</f>
        <v>2023</v>
      </c>
      <c r="C30" s="4">
        <f>MONTH(G30)</f>
        <v>8</v>
      </c>
      <c r="D30" s="4">
        <f>DAY(G30)</f>
        <v>18</v>
      </c>
      <c r="E30" s="4" t="str">
        <f>TEXT(G30, "mmmm")</f>
        <v>August</v>
      </c>
      <c r="F30" s="4" t="str">
        <f>TEXT(G30, "dddd")</f>
        <v>Friday</v>
      </c>
      <c r="G30" s="3">
        <v>45156</v>
      </c>
      <c r="H30" s="4" t="s">
        <v>56</v>
      </c>
      <c r="I30" s="4" t="s">
        <v>20</v>
      </c>
      <c r="J30" s="4">
        <v>42</v>
      </c>
      <c r="K30" s="4" t="str" cm="1">
        <f t="array" ref="K30">_xlfn.IFS(J30&lt;30, "Young Adult", J30&lt;50, "Adult", J30&gt;=50, "Senior")</f>
        <v>Adult</v>
      </c>
      <c r="L30" s="4" t="s">
        <v>24</v>
      </c>
      <c r="M30" s="4">
        <v>1</v>
      </c>
      <c r="N30" s="5">
        <v>30</v>
      </c>
      <c r="O30">
        <f>M30*N30</f>
        <v>30</v>
      </c>
      <c r="P30" s="14">
        <f>O30*$S$3</f>
        <v>0.44999999999999996</v>
      </c>
    </row>
    <row r="31" spans="1:19">
      <c r="A31" s="2">
        <v>30</v>
      </c>
      <c r="B31" s="4">
        <f>YEAR(G31)</f>
        <v>2023</v>
      </c>
      <c r="C31" s="4">
        <f>MONTH(G31)</f>
        <v>10</v>
      </c>
      <c r="D31" s="4">
        <f>DAY(G31)</f>
        <v>29</v>
      </c>
      <c r="E31" s="4" t="str">
        <f>TEXT(G31, "mmmm")</f>
        <v>October</v>
      </c>
      <c r="F31" s="4" t="str">
        <f>TEXT(G31, "dddd")</f>
        <v>Sunday</v>
      </c>
      <c r="G31" s="3">
        <v>45228</v>
      </c>
      <c r="H31" s="4" t="s">
        <v>57</v>
      </c>
      <c r="I31" s="4" t="s">
        <v>20</v>
      </c>
      <c r="J31" s="4">
        <v>39</v>
      </c>
      <c r="K31" s="4" t="str" cm="1">
        <f t="array" ref="K31">_xlfn.IFS(J31&lt;30, "Young Adult", J31&lt;50, "Adult", J31&gt;=50, "Senior")</f>
        <v>Adult</v>
      </c>
      <c r="L31" s="4" t="s">
        <v>17</v>
      </c>
      <c r="M31" s="4">
        <v>3</v>
      </c>
      <c r="N31" s="5">
        <v>300</v>
      </c>
      <c r="O31">
        <f>M31*N31</f>
        <v>900</v>
      </c>
      <c r="P31" s="14">
        <f>O31*$S$3</f>
        <v>13.5</v>
      </c>
    </row>
    <row r="32" spans="1:19">
      <c r="A32" s="2">
        <v>31</v>
      </c>
      <c r="B32" s="4">
        <f>YEAR(G32)</f>
        <v>2023</v>
      </c>
      <c r="C32" s="4">
        <f>MONTH(G32)</f>
        <v>5</v>
      </c>
      <c r="D32" s="4">
        <f>DAY(G32)</f>
        <v>23</v>
      </c>
      <c r="E32" s="4" t="str">
        <f>TEXT(G32, "mmmm")</f>
        <v>May</v>
      </c>
      <c r="F32" s="4" t="str">
        <f>TEXT(G32, "dddd")</f>
        <v>Tuesday</v>
      </c>
      <c r="G32" s="3">
        <v>45069</v>
      </c>
      <c r="H32" s="4" t="s">
        <v>58</v>
      </c>
      <c r="I32" s="4" t="s">
        <v>16</v>
      </c>
      <c r="J32" s="4">
        <v>44</v>
      </c>
      <c r="K32" s="4" t="str" cm="1">
        <f t="array" ref="K32">_xlfn.IFS(J32&lt;30, "Young Adult", J32&lt;50, "Adult", J32&gt;=50, "Senior")</f>
        <v>Adult</v>
      </c>
      <c r="L32" s="4" t="s">
        <v>24</v>
      </c>
      <c r="M32" s="4">
        <v>4</v>
      </c>
      <c r="N32" s="5">
        <v>300</v>
      </c>
      <c r="O32">
        <f>M32*N32</f>
        <v>1200</v>
      </c>
      <c r="P32" s="14">
        <f>O32*$S$3</f>
        <v>18</v>
      </c>
    </row>
    <row r="33" spans="1:18">
      <c r="A33" s="2">
        <v>32</v>
      </c>
      <c r="B33" s="4">
        <f>YEAR(G33)</f>
        <v>2023</v>
      </c>
      <c r="C33" s="4">
        <f>MONTH(G33)</f>
        <v>1</v>
      </c>
      <c r="D33" s="4">
        <f>DAY(G33)</f>
        <v>4</v>
      </c>
      <c r="E33" s="4" t="str">
        <f>TEXT(G33, "mmmm")</f>
        <v>January</v>
      </c>
      <c r="F33" s="4" t="str">
        <f>TEXT(G33, "dddd")</f>
        <v>Wednesday</v>
      </c>
      <c r="G33" s="3">
        <v>44930</v>
      </c>
      <c r="H33" s="4" t="s">
        <v>59</v>
      </c>
      <c r="I33" s="4" t="s">
        <v>16</v>
      </c>
      <c r="J33" s="4">
        <v>30</v>
      </c>
      <c r="K33" s="4" t="str" cm="1">
        <f t="array" ref="K33">_xlfn.IFS(J33&lt;30, "Young Adult", J33&lt;50, "Adult", J33&gt;=50, "Senior")</f>
        <v>Adult</v>
      </c>
      <c r="L33" s="4" t="s">
        <v>17</v>
      </c>
      <c r="M33" s="4">
        <v>3</v>
      </c>
      <c r="N33" s="5">
        <v>30</v>
      </c>
      <c r="O33">
        <f>M33*N33</f>
        <v>90</v>
      </c>
      <c r="P33" s="14">
        <f>O33*$S$3</f>
        <v>1.3499999999999999</v>
      </c>
    </row>
    <row r="34" spans="1:18">
      <c r="A34" s="2">
        <v>33</v>
      </c>
      <c r="B34" s="4">
        <f>YEAR(G34)</f>
        <v>2023</v>
      </c>
      <c r="C34" s="4">
        <f>MONTH(G34)</f>
        <v>3</v>
      </c>
      <c r="D34" s="4">
        <f>DAY(G34)</f>
        <v>23</v>
      </c>
      <c r="E34" s="4" t="str">
        <f>TEXT(G34, "mmmm")</f>
        <v>March</v>
      </c>
      <c r="F34" s="4" t="str">
        <f>TEXT(G34, "dddd")</f>
        <v>Thursday</v>
      </c>
      <c r="G34" s="3">
        <v>45008</v>
      </c>
      <c r="H34" s="4" t="s">
        <v>60</v>
      </c>
      <c r="I34" s="4" t="s">
        <v>20</v>
      </c>
      <c r="J34" s="4">
        <v>50</v>
      </c>
      <c r="K34" s="4" t="str" cm="1">
        <f t="array" ref="K34">_xlfn.IFS(J34&lt;30, "Young Adult", J34&lt;50, "Adult", J34&gt;=50, "Senior")</f>
        <v>Senior</v>
      </c>
      <c r="L34" s="4" t="s">
        <v>24</v>
      </c>
      <c r="M34" s="4">
        <v>2</v>
      </c>
      <c r="N34" s="5">
        <v>50</v>
      </c>
      <c r="O34">
        <f>M34*N34</f>
        <v>100</v>
      </c>
      <c r="P34" s="14">
        <f>O34*$S$3</f>
        <v>1.5</v>
      </c>
    </row>
    <row r="35" spans="1:18">
      <c r="A35" s="2">
        <v>34</v>
      </c>
      <c r="B35" s="4">
        <f>YEAR(G35)</f>
        <v>2023</v>
      </c>
      <c r="C35" s="4">
        <f>MONTH(G35)</f>
        <v>12</v>
      </c>
      <c r="D35" s="4">
        <f>DAY(G35)</f>
        <v>24</v>
      </c>
      <c r="E35" s="4" t="str">
        <f>TEXT(G35, "mmmm")</f>
        <v>December</v>
      </c>
      <c r="F35" s="4" t="str">
        <f>TEXT(G35, "dddd")</f>
        <v>Sunday</v>
      </c>
      <c r="G35" s="3">
        <v>45284</v>
      </c>
      <c r="H35" s="4" t="s">
        <v>61</v>
      </c>
      <c r="I35" s="4" t="s">
        <v>20</v>
      </c>
      <c r="J35" s="4">
        <v>51</v>
      </c>
      <c r="K35" s="4" t="str" cm="1">
        <f t="array" ref="K35">_xlfn.IFS(J35&lt;30, "Young Adult", J35&lt;50, "Adult", J35&gt;=50, "Senior")</f>
        <v>Senior</v>
      </c>
      <c r="L35" s="4" t="s">
        <v>21</v>
      </c>
      <c r="M35" s="4">
        <v>3</v>
      </c>
      <c r="N35" s="5">
        <v>50</v>
      </c>
      <c r="O35">
        <f>M35*N35</f>
        <v>150</v>
      </c>
      <c r="P35" s="14">
        <f>O35*$S$3</f>
        <v>2.25</v>
      </c>
    </row>
    <row r="36" spans="1:18">
      <c r="A36" s="2">
        <v>35</v>
      </c>
      <c r="B36" s="4">
        <f>YEAR(G36)</f>
        <v>2023</v>
      </c>
      <c r="C36" s="4">
        <f>MONTH(G36)</f>
        <v>8</v>
      </c>
      <c r="D36" s="4">
        <f>DAY(G36)</f>
        <v>5</v>
      </c>
      <c r="E36" s="4" t="str">
        <f>TEXT(G36, "mmmm")</f>
        <v>August</v>
      </c>
      <c r="F36" s="4" t="str">
        <f>TEXT(G36, "dddd")</f>
        <v>Saturday</v>
      </c>
      <c r="G36" s="3">
        <v>45143</v>
      </c>
      <c r="H36" s="4" t="s">
        <v>62</v>
      </c>
      <c r="I36" s="4" t="s">
        <v>20</v>
      </c>
      <c r="J36" s="4">
        <v>58</v>
      </c>
      <c r="K36" s="4" t="str" cm="1">
        <f t="array" ref="K36">_xlfn.IFS(J36&lt;30, "Young Adult", J36&lt;50, "Adult", J36&gt;=50, "Senior")</f>
        <v>Senior</v>
      </c>
      <c r="L36" s="4" t="s">
        <v>17</v>
      </c>
      <c r="M36" s="4">
        <v>3</v>
      </c>
      <c r="N36" s="5">
        <v>300</v>
      </c>
      <c r="O36">
        <f>M36*N36</f>
        <v>900</v>
      </c>
      <c r="P36" s="14">
        <f>O36*$S$3</f>
        <v>13.5</v>
      </c>
    </row>
    <row r="37" spans="1:18">
      <c r="A37" s="2">
        <v>36</v>
      </c>
      <c r="B37" s="4">
        <f>YEAR(G37)</f>
        <v>2023</v>
      </c>
      <c r="C37" s="4">
        <f>MONTH(G37)</f>
        <v>6</v>
      </c>
      <c r="D37" s="4">
        <f>DAY(G37)</f>
        <v>24</v>
      </c>
      <c r="E37" s="4" t="str">
        <f>TEXT(G37, "mmmm")</f>
        <v>June</v>
      </c>
      <c r="F37" s="4" t="str">
        <f>TEXT(G37, "dddd")</f>
        <v>Saturday</v>
      </c>
      <c r="G37" s="3">
        <v>45101</v>
      </c>
      <c r="H37" s="4" t="s">
        <v>63</v>
      </c>
      <c r="I37" s="4" t="s">
        <v>16</v>
      </c>
      <c r="J37" s="4">
        <v>52</v>
      </c>
      <c r="K37" s="4" t="str" cm="1">
        <f t="array" ref="K37">_xlfn.IFS(J37&lt;30, "Young Adult", J37&lt;50, "Adult", J37&gt;=50, "Senior")</f>
        <v>Senior</v>
      </c>
      <c r="L37" s="4" t="s">
        <v>17</v>
      </c>
      <c r="M37" s="4">
        <v>3</v>
      </c>
      <c r="N37" s="5">
        <v>300</v>
      </c>
      <c r="O37">
        <f>M37*N37</f>
        <v>900</v>
      </c>
      <c r="P37" s="14">
        <f>O37*$S$3</f>
        <v>13.5</v>
      </c>
    </row>
    <row r="38" spans="1:18">
      <c r="A38" s="2">
        <v>37</v>
      </c>
      <c r="B38" s="4">
        <f>YEAR(G38)</f>
        <v>2023</v>
      </c>
      <c r="C38" s="4">
        <f>MONTH(G38)</f>
        <v>5</v>
      </c>
      <c r="D38" s="4">
        <f>DAY(G38)</f>
        <v>23</v>
      </c>
      <c r="E38" s="4" t="str">
        <f>TEXT(G38, "mmmm")</f>
        <v>May</v>
      </c>
      <c r="F38" s="4" t="str">
        <f>TEXT(G38, "dddd")</f>
        <v>Tuesday</v>
      </c>
      <c r="G38" s="3">
        <v>45069</v>
      </c>
      <c r="H38" s="4" t="s">
        <v>64</v>
      </c>
      <c r="I38" s="4" t="s">
        <v>20</v>
      </c>
      <c r="J38" s="4">
        <v>18</v>
      </c>
      <c r="K38" s="4" t="str" cm="1">
        <f t="array" ref="K38">_xlfn.IFS(J38&lt;30, "Young Adult", J38&lt;50, "Adult", J38&gt;=50, "Senior")</f>
        <v>Young Adult</v>
      </c>
      <c r="L38" s="4" t="s">
        <v>17</v>
      </c>
      <c r="M38" s="4">
        <v>3</v>
      </c>
      <c r="N38" s="5">
        <v>25</v>
      </c>
      <c r="O38">
        <f>M38*N38</f>
        <v>75</v>
      </c>
      <c r="P38" s="14">
        <f>O38*$S$3</f>
        <v>1.125</v>
      </c>
    </row>
    <row r="39" spans="1:18">
      <c r="A39" s="2">
        <v>38</v>
      </c>
      <c r="B39" s="4">
        <f>YEAR(G39)</f>
        <v>2023</v>
      </c>
      <c r="C39" s="4">
        <f>MONTH(G39)</f>
        <v>3</v>
      </c>
      <c r="D39" s="4">
        <f>DAY(G39)</f>
        <v>21</v>
      </c>
      <c r="E39" s="4" t="str">
        <f>TEXT(G39, "mmmm")</f>
        <v>March</v>
      </c>
      <c r="F39" s="4" t="str">
        <f>TEXT(G39, "dddd")</f>
        <v>Tuesday</v>
      </c>
      <c r="G39" s="3">
        <v>45006</v>
      </c>
      <c r="H39" s="4" t="s">
        <v>65</v>
      </c>
      <c r="I39" s="4" t="s">
        <v>16</v>
      </c>
      <c r="J39" s="4">
        <v>38</v>
      </c>
      <c r="K39" s="4" t="str" cm="1">
        <f t="array" ref="K39">_xlfn.IFS(J39&lt;30, "Young Adult", J39&lt;50, "Adult", J39&gt;=50, "Senior")</f>
        <v>Adult</v>
      </c>
      <c r="L39" s="4" t="s">
        <v>17</v>
      </c>
      <c r="M39" s="4">
        <v>4</v>
      </c>
      <c r="N39" s="5">
        <v>50</v>
      </c>
      <c r="O39">
        <f>M39*N39</f>
        <v>200</v>
      </c>
      <c r="P39" s="14">
        <f>O39*$S$3</f>
        <v>3</v>
      </c>
    </row>
    <row r="40" spans="1:18">
      <c r="A40" s="2">
        <v>39</v>
      </c>
      <c r="B40" s="4">
        <f>YEAR(G40)</f>
        <v>2023</v>
      </c>
      <c r="C40" s="4">
        <f>MONTH(G40)</f>
        <v>4</v>
      </c>
      <c r="D40" s="4">
        <f>DAY(G40)</f>
        <v>21</v>
      </c>
      <c r="E40" s="4" t="str">
        <f>TEXT(G40, "mmmm")</f>
        <v>April</v>
      </c>
      <c r="F40" s="4" t="str">
        <f>TEXT(G40, "dddd")</f>
        <v>Friday</v>
      </c>
      <c r="G40" s="3">
        <v>45037</v>
      </c>
      <c r="H40" s="4" t="s">
        <v>66</v>
      </c>
      <c r="I40" s="4" t="s">
        <v>16</v>
      </c>
      <c r="J40" s="4">
        <v>23</v>
      </c>
      <c r="K40" s="4" t="str" cm="1">
        <f t="array" ref="K40">_xlfn.IFS(J40&lt;30, "Young Adult", J40&lt;50, "Adult", J40&gt;=50, "Senior")</f>
        <v>Young Adult</v>
      </c>
      <c r="L40" s="4" t="s">
        <v>21</v>
      </c>
      <c r="M40" s="4">
        <v>4</v>
      </c>
      <c r="N40" s="5">
        <v>30</v>
      </c>
      <c r="O40">
        <f>M40*N40</f>
        <v>120</v>
      </c>
      <c r="P40" s="14">
        <f>O40*$S$3</f>
        <v>1.7999999999999998</v>
      </c>
    </row>
    <row r="41" spans="1:18">
      <c r="A41" s="2">
        <v>40</v>
      </c>
      <c r="B41" s="4">
        <f>YEAR(G41)</f>
        <v>2023</v>
      </c>
      <c r="C41" s="4">
        <f>MONTH(G41)</f>
        <v>6</v>
      </c>
      <c r="D41" s="4">
        <f>DAY(G41)</f>
        <v>22</v>
      </c>
      <c r="E41" s="4" t="str">
        <f>TEXT(G41, "mmmm")</f>
        <v>June</v>
      </c>
      <c r="F41" s="4" t="str">
        <f>TEXT(G41, "dddd")</f>
        <v>Thursday</v>
      </c>
      <c r="G41" s="3">
        <v>45099</v>
      </c>
      <c r="H41" s="4" t="s">
        <v>67</v>
      </c>
      <c r="I41" s="4" t="s">
        <v>16</v>
      </c>
      <c r="J41" s="4">
        <v>45</v>
      </c>
      <c r="K41" s="4" t="str" cm="1">
        <f t="array" ref="K41">_xlfn.IFS(J41&lt;30, "Young Adult", J41&lt;50, "Adult", J41&gt;=50, "Senior")</f>
        <v>Adult</v>
      </c>
      <c r="L41" s="4" t="s">
        <v>17</v>
      </c>
      <c r="M41" s="4">
        <v>1</v>
      </c>
      <c r="N41" s="5">
        <v>50</v>
      </c>
      <c r="O41">
        <f>M41*N41</f>
        <v>50</v>
      </c>
      <c r="P41" s="14">
        <f>O41*$S$3</f>
        <v>0.75</v>
      </c>
    </row>
    <row r="42" spans="1:18">
      <c r="A42" s="2">
        <v>41</v>
      </c>
      <c r="B42" s="4">
        <f>YEAR(G42)</f>
        <v>2023</v>
      </c>
      <c r="C42" s="4">
        <f>MONTH(G42)</f>
        <v>2</v>
      </c>
      <c r="D42" s="4">
        <f>DAY(G42)</f>
        <v>22</v>
      </c>
      <c r="E42" s="4" t="str">
        <f>TEXT(G42, "mmmm")</f>
        <v>February</v>
      </c>
      <c r="F42" s="4" t="str">
        <f>TEXT(G42, "dddd")</f>
        <v>Wednesday</v>
      </c>
      <c r="G42" s="3">
        <v>44979</v>
      </c>
      <c r="H42" s="4" t="s">
        <v>68</v>
      </c>
      <c r="I42" s="4" t="s">
        <v>16</v>
      </c>
      <c r="J42" s="4">
        <v>34</v>
      </c>
      <c r="K42" s="4" t="str" cm="1">
        <f t="array" ref="K42">_xlfn.IFS(J42&lt;30, "Young Adult", J42&lt;50, "Adult", J42&gt;=50, "Senior")</f>
        <v>Adult</v>
      </c>
      <c r="L42" s="4" t="s">
        <v>21</v>
      </c>
      <c r="M42" s="4">
        <v>2</v>
      </c>
      <c r="N42" s="5">
        <v>25</v>
      </c>
      <c r="O42">
        <f>M42*N42</f>
        <v>50</v>
      </c>
      <c r="P42" s="14">
        <f>O42*$S$3</f>
        <v>0.75</v>
      </c>
    </row>
    <row r="43" spans="1:18">
      <c r="A43" s="2">
        <v>42</v>
      </c>
      <c r="B43" s="4">
        <f>YEAR(G43)</f>
        <v>2023</v>
      </c>
      <c r="C43" s="4">
        <f>MONTH(G43)</f>
        <v>2</v>
      </c>
      <c r="D43" s="4">
        <f>DAY(G43)</f>
        <v>17</v>
      </c>
      <c r="E43" s="4" t="str">
        <f>TEXT(G43, "mmmm")</f>
        <v>February</v>
      </c>
      <c r="F43" s="4" t="str">
        <f>TEXT(G43, "dddd")</f>
        <v>Friday</v>
      </c>
      <c r="G43" s="3">
        <v>44974</v>
      </c>
      <c r="H43" s="4" t="s">
        <v>69</v>
      </c>
      <c r="I43" s="4" t="s">
        <v>16</v>
      </c>
      <c r="J43" s="4">
        <v>22</v>
      </c>
      <c r="K43" s="4" t="str" cm="1">
        <f t="array" ref="K43">_xlfn.IFS(J43&lt;30, "Young Adult", J43&lt;50, "Adult", J43&gt;=50, "Senior")</f>
        <v>Young Adult</v>
      </c>
      <c r="L43" s="4" t="s">
        <v>21</v>
      </c>
      <c r="M43" s="4">
        <v>3</v>
      </c>
      <c r="N43" s="5">
        <v>300</v>
      </c>
      <c r="O43">
        <f>M43*N43</f>
        <v>900</v>
      </c>
      <c r="P43" s="14">
        <f>O43*$S$3</f>
        <v>13.5</v>
      </c>
    </row>
    <row r="44" spans="1:18">
      <c r="A44" s="2">
        <v>43</v>
      </c>
      <c r="B44" s="4">
        <f>YEAR(G44)</f>
        <v>2023</v>
      </c>
      <c r="C44" s="4">
        <f>MONTH(G44)</f>
        <v>7</v>
      </c>
      <c r="D44" s="4">
        <f>DAY(G44)</f>
        <v>14</v>
      </c>
      <c r="E44" s="4" t="str">
        <f>TEXT(G44, "mmmm")</f>
        <v>July</v>
      </c>
      <c r="F44" s="4" t="str">
        <f>TEXT(G44, "dddd")</f>
        <v>Friday</v>
      </c>
      <c r="G44" s="3">
        <v>45121</v>
      </c>
      <c r="H44" s="4" t="s">
        <v>70</v>
      </c>
      <c r="I44" s="4" t="s">
        <v>20</v>
      </c>
      <c r="J44" s="4">
        <v>48</v>
      </c>
      <c r="K44" s="4" t="str" cm="1">
        <f t="array" ref="K44">_xlfn.IFS(J44&lt;30, "Young Adult", J44&lt;50, "Adult", J44&gt;=50, "Senior")</f>
        <v>Adult</v>
      </c>
      <c r="L44" s="4" t="s">
        <v>21</v>
      </c>
      <c r="M44" s="4">
        <v>1</v>
      </c>
      <c r="N44" s="5">
        <v>300</v>
      </c>
      <c r="O44">
        <f>M44*N44</f>
        <v>300</v>
      </c>
      <c r="P44" s="14">
        <f>O44*$S$3</f>
        <v>4.5</v>
      </c>
    </row>
    <row r="45" spans="1:18">
      <c r="A45" s="2">
        <v>44</v>
      </c>
      <c r="B45" s="4">
        <f>YEAR(G45)</f>
        <v>2023</v>
      </c>
      <c r="C45" s="4">
        <f>MONTH(G45)</f>
        <v>2</v>
      </c>
      <c r="D45" s="4">
        <f>DAY(G45)</f>
        <v>19</v>
      </c>
      <c r="E45" s="4" t="str">
        <f>TEXT(G45, "mmmm")</f>
        <v>February</v>
      </c>
      <c r="F45" s="4" t="str">
        <f>TEXT(G45, "dddd")</f>
        <v>Sunday</v>
      </c>
      <c r="G45" s="3">
        <v>44976</v>
      </c>
      <c r="H45" s="4" t="s">
        <v>71</v>
      </c>
      <c r="I45" s="4" t="s">
        <v>20</v>
      </c>
      <c r="J45" s="4">
        <v>22</v>
      </c>
      <c r="K45" s="4" t="str" cm="1">
        <f t="array" ref="K45">_xlfn.IFS(J45&lt;30, "Young Adult", J45&lt;50, "Adult", J45&gt;=50, "Senior")</f>
        <v>Young Adult</v>
      </c>
      <c r="L45" s="4" t="s">
        <v>21</v>
      </c>
      <c r="M45" s="4">
        <v>1</v>
      </c>
      <c r="N45" s="5">
        <v>25</v>
      </c>
      <c r="O45">
        <f>M45*N45</f>
        <v>25</v>
      </c>
      <c r="P45" s="14">
        <f>O45*$S$3</f>
        <v>0.375</v>
      </c>
      <c r="R45">
        <v>0</v>
      </c>
    </row>
    <row r="46" spans="1:18">
      <c r="A46" s="2">
        <v>45</v>
      </c>
      <c r="B46" s="4">
        <f>YEAR(G46)</f>
        <v>2023</v>
      </c>
      <c r="C46" s="4">
        <f>MONTH(G46)</f>
        <v>7</v>
      </c>
      <c r="D46" s="4">
        <f>DAY(G46)</f>
        <v>3</v>
      </c>
      <c r="E46" s="4" t="str">
        <f>TEXT(G46, "mmmm")</f>
        <v>July</v>
      </c>
      <c r="F46" s="4" t="str">
        <f>TEXT(G46, "dddd")</f>
        <v>Monday</v>
      </c>
      <c r="G46" s="3">
        <v>45110</v>
      </c>
      <c r="H46" s="4" t="s">
        <v>72</v>
      </c>
      <c r="I46" s="4" t="s">
        <v>20</v>
      </c>
      <c r="J46" s="4">
        <v>55</v>
      </c>
      <c r="K46" s="4" t="str" cm="1">
        <f t="array" ref="K46">_xlfn.IFS(J46&lt;30, "Young Adult", J46&lt;50, "Adult", J46&gt;=50, "Senior")</f>
        <v>Senior</v>
      </c>
      <c r="L46" s="4" t="s">
        <v>24</v>
      </c>
      <c r="M46" s="4">
        <v>1</v>
      </c>
      <c r="N46" s="5">
        <v>30</v>
      </c>
      <c r="O46">
        <f>M46*N46</f>
        <v>30</v>
      </c>
      <c r="P46" s="14">
        <f>O46*$S$3</f>
        <v>0.44999999999999996</v>
      </c>
    </row>
    <row r="47" spans="1:18">
      <c r="A47" s="2">
        <v>46</v>
      </c>
      <c r="B47" s="4">
        <f>YEAR(G47)</f>
        <v>2023</v>
      </c>
      <c r="C47" s="4">
        <f>MONTH(G47)</f>
        <v>6</v>
      </c>
      <c r="D47" s="4">
        <f>DAY(G47)</f>
        <v>26</v>
      </c>
      <c r="E47" s="4" t="str">
        <f>TEXT(G47, "mmmm")</f>
        <v>June</v>
      </c>
      <c r="F47" s="4" t="str">
        <f>TEXT(G47, "dddd")</f>
        <v>Monday</v>
      </c>
      <c r="G47" s="3">
        <v>45103</v>
      </c>
      <c r="H47" s="4" t="s">
        <v>73</v>
      </c>
      <c r="I47" s="4" t="s">
        <v>20</v>
      </c>
      <c r="J47" s="4">
        <v>20</v>
      </c>
      <c r="K47" s="4" t="str" cm="1">
        <f t="array" ref="K47">_xlfn.IFS(J47&lt;30, "Young Adult", J47&lt;50, "Adult", J47&gt;=50, "Senior")</f>
        <v>Young Adult</v>
      </c>
      <c r="L47" s="4" t="s">
        <v>24</v>
      </c>
      <c r="M47" s="4">
        <v>4</v>
      </c>
      <c r="N47" s="5">
        <v>300</v>
      </c>
      <c r="O47">
        <f>M47*N47</f>
        <v>1200</v>
      </c>
      <c r="P47" s="14">
        <f>O47*$S$3</f>
        <v>18</v>
      </c>
    </row>
    <row r="48" spans="1:18">
      <c r="A48" s="2">
        <v>47</v>
      </c>
      <c r="B48" s="4">
        <f>YEAR(G48)</f>
        <v>2023</v>
      </c>
      <c r="C48" s="4">
        <f>MONTH(G48)</f>
        <v>11</v>
      </c>
      <c r="D48" s="4">
        <f>DAY(G48)</f>
        <v>6</v>
      </c>
      <c r="E48" s="4" t="str">
        <f>TEXT(G48, "mmmm")</f>
        <v>November</v>
      </c>
      <c r="F48" s="4" t="str">
        <f>TEXT(G48, "dddd")</f>
        <v>Monday</v>
      </c>
      <c r="G48" s="3">
        <v>45236</v>
      </c>
      <c r="H48" s="4" t="s">
        <v>74</v>
      </c>
      <c r="I48" s="4" t="s">
        <v>20</v>
      </c>
      <c r="J48" s="4">
        <v>40</v>
      </c>
      <c r="K48" s="4" t="str" cm="1">
        <f t="array" ref="K48">_xlfn.IFS(J48&lt;30, "Young Adult", J48&lt;50, "Adult", J48&gt;=50, "Senior")</f>
        <v>Adult</v>
      </c>
      <c r="L48" s="4" t="s">
        <v>17</v>
      </c>
      <c r="M48" s="4">
        <v>3</v>
      </c>
      <c r="N48" s="5">
        <v>500</v>
      </c>
      <c r="O48">
        <f>M48*N48</f>
        <v>1500</v>
      </c>
      <c r="P48" s="14">
        <f>O48*$S$3</f>
        <v>22.5</v>
      </c>
    </row>
    <row r="49" spans="1:16">
      <c r="A49" s="2">
        <v>48</v>
      </c>
      <c r="B49" s="4">
        <f>YEAR(G49)</f>
        <v>2023</v>
      </c>
      <c r="C49" s="4">
        <f>MONTH(G49)</f>
        <v>5</v>
      </c>
      <c r="D49" s="4">
        <f>DAY(G49)</f>
        <v>16</v>
      </c>
      <c r="E49" s="4" t="str">
        <f>TEXT(G49, "mmmm")</f>
        <v>May</v>
      </c>
      <c r="F49" s="4" t="str">
        <f>TEXT(G49, "dddd")</f>
        <v>Tuesday</v>
      </c>
      <c r="G49" s="3">
        <v>45062</v>
      </c>
      <c r="H49" s="4" t="s">
        <v>75</v>
      </c>
      <c r="I49" s="4" t="s">
        <v>16</v>
      </c>
      <c r="J49" s="4">
        <v>54</v>
      </c>
      <c r="K49" s="4" t="str" cm="1">
        <f t="array" ref="K49">_xlfn.IFS(J49&lt;30, "Young Adult", J49&lt;50, "Adult", J49&gt;=50, "Senior")</f>
        <v>Senior</v>
      </c>
      <c r="L49" s="4" t="s">
        <v>24</v>
      </c>
      <c r="M49" s="4">
        <v>3</v>
      </c>
      <c r="N49" s="5">
        <v>300</v>
      </c>
      <c r="O49">
        <f>M49*N49</f>
        <v>900</v>
      </c>
      <c r="P49" s="14">
        <f>O49*$S$3</f>
        <v>13.5</v>
      </c>
    </row>
    <row r="50" spans="1:16">
      <c r="A50" s="2">
        <v>49</v>
      </c>
      <c r="B50" s="4">
        <f>YEAR(G50)</f>
        <v>2023</v>
      </c>
      <c r="C50" s="4">
        <f>MONTH(G50)</f>
        <v>1</v>
      </c>
      <c r="D50" s="4">
        <f>DAY(G50)</f>
        <v>23</v>
      </c>
      <c r="E50" s="4" t="str">
        <f>TEXT(G50, "mmmm")</f>
        <v>January</v>
      </c>
      <c r="F50" s="4" t="str">
        <f>TEXT(G50, "dddd")</f>
        <v>Monday</v>
      </c>
      <c r="G50" s="3">
        <v>44949</v>
      </c>
      <c r="H50" s="4" t="s">
        <v>76</v>
      </c>
      <c r="I50" s="4" t="s">
        <v>20</v>
      </c>
      <c r="J50" s="4">
        <v>54</v>
      </c>
      <c r="K50" s="4" t="str" cm="1">
        <f t="array" ref="K50">_xlfn.IFS(J50&lt;30, "Young Adult", J50&lt;50, "Adult", J50&gt;=50, "Senior")</f>
        <v>Senior</v>
      </c>
      <c r="L50" s="4" t="s">
        <v>24</v>
      </c>
      <c r="M50" s="4">
        <v>2</v>
      </c>
      <c r="N50" s="5">
        <v>500</v>
      </c>
      <c r="O50">
        <f>M50*N50</f>
        <v>1000</v>
      </c>
      <c r="P50" s="14">
        <f>O50*$S$3</f>
        <v>15</v>
      </c>
    </row>
    <row r="51" spans="1:16">
      <c r="A51" s="2">
        <v>50</v>
      </c>
      <c r="B51" s="4">
        <f>YEAR(G51)</f>
        <v>2023</v>
      </c>
      <c r="C51" s="4">
        <f>MONTH(G51)</f>
        <v>8</v>
      </c>
      <c r="D51" s="4">
        <f>DAY(G51)</f>
        <v>24</v>
      </c>
      <c r="E51" s="4" t="str">
        <f>TEXT(G51, "mmmm")</f>
        <v>August</v>
      </c>
      <c r="F51" s="4" t="str">
        <f>TEXT(G51, "dddd")</f>
        <v>Thursday</v>
      </c>
      <c r="G51" s="3">
        <v>45162</v>
      </c>
      <c r="H51" s="4" t="s">
        <v>77</v>
      </c>
      <c r="I51" s="4" t="s">
        <v>20</v>
      </c>
      <c r="J51" s="4">
        <v>27</v>
      </c>
      <c r="K51" s="4" t="str" cm="1">
        <f t="array" ref="K51">_xlfn.IFS(J51&lt;30, "Young Adult", J51&lt;50, "Adult", J51&gt;=50, "Senior")</f>
        <v>Young Adult</v>
      </c>
      <c r="L51" s="4" t="s">
        <v>17</v>
      </c>
      <c r="M51" s="4">
        <v>3</v>
      </c>
      <c r="N51" s="5">
        <v>25</v>
      </c>
      <c r="O51">
        <f>M51*N51</f>
        <v>75</v>
      </c>
      <c r="P51" s="14">
        <f>O51*$S$3</f>
        <v>1.125</v>
      </c>
    </row>
    <row r="52" spans="1:16">
      <c r="A52" s="2">
        <v>51</v>
      </c>
      <c r="B52" s="4">
        <f>YEAR(G52)</f>
        <v>2023</v>
      </c>
      <c r="C52" s="4">
        <f>MONTH(G52)</f>
        <v>10</v>
      </c>
      <c r="D52" s="4">
        <f>DAY(G52)</f>
        <v>2</v>
      </c>
      <c r="E52" s="4" t="str">
        <f>TEXT(G52, "mmmm")</f>
        <v>October</v>
      </c>
      <c r="F52" s="4" t="str">
        <f>TEXT(G52, "dddd")</f>
        <v>Monday</v>
      </c>
      <c r="G52" s="3">
        <v>45201</v>
      </c>
      <c r="H52" s="4" t="s">
        <v>78</v>
      </c>
      <c r="I52" s="4" t="s">
        <v>16</v>
      </c>
      <c r="J52" s="4">
        <v>27</v>
      </c>
      <c r="K52" s="4" t="str" cm="1">
        <f t="array" ref="K52">_xlfn.IFS(J52&lt;30, "Young Adult", J52&lt;50, "Adult", J52&gt;=50, "Senior")</f>
        <v>Young Adult</v>
      </c>
      <c r="L52" s="4" t="s">
        <v>17</v>
      </c>
      <c r="M52" s="4">
        <v>3</v>
      </c>
      <c r="N52" s="5">
        <v>25</v>
      </c>
      <c r="O52">
        <f>M52*N52</f>
        <v>75</v>
      </c>
      <c r="P52" s="14">
        <f>O52*$S$3</f>
        <v>1.125</v>
      </c>
    </row>
    <row r="53" spans="1:16">
      <c r="A53" s="2">
        <v>52</v>
      </c>
      <c r="B53" s="4">
        <f>YEAR(G53)</f>
        <v>2023</v>
      </c>
      <c r="C53" s="4">
        <f>MONTH(G53)</f>
        <v>3</v>
      </c>
      <c r="D53" s="4">
        <f>DAY(G53)</f>
        <v>5</v>
      </c>
      <c r="E53" s="4" t="str">
        <f>TEXT(G53, "mmmm")</f>
        <v>March</v>
      </c>
      <c r="F53" s="4" t="str">
        <f>TEXT(G53, "dddd")</f>
        <v>Sunday</v>
      </c>
      <c r="G53" s="3">
        <v>44990</v>
      </c>
      <c r="H53" s="4" t="s">
        <v>79</v>
      </c>
      <c r="I53" s="4" t="s">
        <v>20</v>
      </c>
      <c r="J53" s="4">
        <v>36</v>
      </c>
      <c r="K53" s="4" t="str" cm="1">
        <f t="array" ref="K53">_xlfn.IFS(J53&lt;30, "Young Adult", J53&lt;50, "Adult", J53&gt;=50, "Senior")</f>
        <v>Adult</v>
      </c>
      <c r="L53" s="4" t="s">
        <v>17</v>
      </c>
      <c r="M53" s="4">
        <v>1</v>
      </c>
      <c r="N53" s="5">
        <v>300</v>
      </c>
      <c r="O53">
        <f>M53*N53</f>
        <v>300</v>
      </c>
      <c r="P53" s="14">
        <f>O53*$S$3</f>
        <v>4.5</v>
      </c>
    </row>
    <row r="54" spans="1:16">
      <c r="A54" s="2">
        <v>53</v>
      </c>
      <c r="B54" s="4">
        <f>YEAR(G54)</f>
        <v>2023</v>
      </c>
      <c r="C54" s="4">
        <f>MONTH(G54)</f>
        <v>7</v>
      </c>
      <c r="D54" s="4">
        <f>DAY(G54)</f>
        <v>13</v>
      </c>
      <c r="E54" s="4" t="str">
        <f>TEXT(G54, "mmmm")</f>
        <v>July</v>
      </c>
      <c r="F54" s="4" t="str">
        <f>TEXT(G54, "dddd")</f>
        <v>Thursday</v>
      </c>
      <c r="G54" s="3">
        <v>45120</v>
      </c>
      <c r="H54" s="4" t="s">
        <v>80</v>
      </c>
      <c r="I54" s="4" t="s">
        <v>16</v>
      </c>
      <c r="J54" s="4">
        <v>34</v>
      </c>
      <c r="K54" s="4" t="str" cm="1">
        <f t="array" ref="K54">_xlfn.IFS(J54&lt;30, "Young Adult", J54&lt;50, "Adult", J54&gt;=50, "Senior")</f>
        <v>Adult</v>
      </c>
      <c r="L54" s="4" t="s">
        <v>24</v>
      </c>
      <c r="M54" s="4">
        <v>2</v>
      </c>
      <c r="N54" s="5">
        <v>50</v>
      </c>
      <c r="O54">
        <f>M54*N54</f>
        <v>100</v>
      </c>
      <c r="P54" s="14">
        <f>O54*$S$3</f>
        <v>1.5</v>
      </c>
    </row>
    <row r="55" spans="1:16">
      <c r="A55" s="2">
        <v>54</v>
      </c>
      <c r="B55" s="4">
        <f>YEAR(G55)</f>
        <v>2023</v>
      </c>
      <c r="C55" s="4">
        <f>MONTH(G55)</f>
        <v>2</v>
      </c>
      <c r="D55" s="4">
        <f>DAY(G55)</f>
        <v>10</v>
      </c>
      <c r="E55" s="4" t="str">
        <f>TEXT(G55, "mmmm")</f>
        <v>February</v>
      </c>
      <c r="F55" s="4" t="str">
        <f>TEXT(G55, "dddd")</f>
        <v>Friday</v>
      </c>
      <c r="G55" s="3">
        <v>44967</v>
      </c>
      <c r="H55" s="4" t="s">
        <v>81</v>
      </c>
      <c r="I55" s="4" t="s">
        <v>20</v>
      </c>
      <c r="J55" s="4">
        <v>38</v>
      </c>
      <c r="K55" s="4" t="str" cm="1">
        <f t="array" ref="K55">_xlfn.IFS(J55&lt;30, "Young Adult", J55&lt;50, "Adult", J55&gt;=50, "Senior")</f>
        <v>Adult</v>
      </c>
      <c r="L55" s="4" t="s">
        <v>24</v>
      </c>
      <c r="M55" s="4">
        <v>3</v>
      </c>
      <c r="N55" s="5">
        <v>500</v>
      </c>
      <c r="O55">
        <f>M55*N55</f>
        <v>1500</v>
      </c>
      <c r="P55" s="14">
        <f>O55*$S$3</f>
        <v>22.5</v>
      </c>
    </row>
    <row r="56" spans="1:16">
      <c r="A56" s="2">
        <v>55</v>
      </c>
      <c r="B56" s="4">
        <f>YEAR(G56)</f>
        <v>2023</v>
      </c>
      <c r="C56" s="4">
        <f>MONTH(G56)</f>
        <v>10</v>
      </c>
      <c r="D56" s="4">
        <f>DAY(G56)</f>
        <v>10</v>
      </c>
      <c r="E56" s="4" t="str">
        <f>TEXT(G56, "mmmm")</f>
        <v>October</v>
      </c>
      <c r="F56" s="4" t="str">
        <f>TEXT(G56, "dddd")</f>
        <v>Tuesday</v>
      </c>
      <c r="G56" s="3">
        <v>45209</v>
      </c>
      <c r="H56" s="4" t="s">
        <v>82</v>
      </c>
      <c r="I56" s="4" t="s">
        <v>16</v>
      </c>
      <c r="J56" s="4">
        <v>31</v>
      </c>
      <c r="K56" s="4" t="str" cm="1">
        <f t="array" ref="K56">_xlfn.IFS(J56&lt;30, "Young Adult", J56&lt;50, "Adult", J56&gt;=50, "Senior")</f>
        <v>Adult</v>
      </c>
      <c r="L56" s="4" t="s">
        <v>17</v>
      </c>
      <c r="M56" s="4">
        <v>4</v>
      </c>
      <c r="N56" s="5">
        <v>30</v>
      </c>
      <c r="O56">
        <f>M56*N56</f>
        <v>120</v>
      </c>
      <c r="P56" s="14">
        <f>O56*$S$3</f>
        <v>1.7999999999999998</v>
      </c>
    </row>
    <row r="57" spans="1:16">
      <c r="A57" s="2">
        <v>56</v>
      </c>
      <c r="B57" s="4">
        <f>YEAR(G57)</f>
        <v>2023</v>
      </c>
      <c r="C57" s="4">
        <f>MONTH(G57)</f>
        <v>5</v>
      </c>
      <c r="D57" s="4">
        <f>DAY(G57)</f>
        <v>31</v>
      </c>
      <c r="E57" s="4" t="str">
        <f>TEXT(G57, "mmmm")</f>
        <v>May</v>
      </c>
      <c r="F57" s="4" t="str">
        <f>TEXT(G57, "dddd")</f>
        <v>Wednesday</v>
      </c>
      <c r="G57" s="3">
        <v>45077</v>
      </c>
      <c r="H57" s="4" t="s">
        <v>83</v>
      </c>
      <c r="I57" s="4" t="s">
        <v>20</v>
      </c>
      <c r="J57" s="4">
        <v>26</v>
      </c>
      <c r="K57" s="4" t="str" cm="1">
        <f t="array" ref="K57">_xlfn.IFS(J57&lt;30, "Young Adult", J57&lt;50, "Adult", J57&gt;=50, "Senior")</f>
        <v>Young Adult</v>
      </c>
      <c r="L57" s="4" t="s">
        <v>21</v>
      </c>
      <c r="M57" s="4">
        <v>3</v>
      </c>
      <c r="N57" s="5">
        <v>300</v>
      </c>
      <c r="O57">
        <f>M57*N57</f>
        <v>900</v>
      </c>
      <c r="P57" s="14">
        <f>O57*$S$3</f>
        <v>13.5</v>
      </c>
    </row>
    <row r="58" spans="1:16">
      <c r="A58" s="2">
        <v>57</v>
      </c>
      <c r="B58" s="4">
        <f>YEAR(G58)</f>
        <v>2023</v>
      </c>
      <c r="C58" s="4">
        <f>MONTH(G58)</f>
        <v>11</v>
      </c>
      <c r="D58" s="4">
        <f>DAY(G58)</f>
        <v>18</v>
      </c>
      <c r="E58" s="4" t="str">
        <f>TEXT(G58, "mmmm")</f>
        <v>November</v>
      </c>
      <c r="F58" s="4" t="str">
        <f>TEXT(G58, "dddd")</f>
        <v>Saturday</v>
      </c>
      <c r="G58" s="3">
        <v>45248</v>
      </c>
      <c r="H58" s="4" t="s">
        <v>84</v>
      </c>
      <c r="I58" s="4" t="s">
        <v>20</v>
      </c>
      <c r="J58" s="4">
        <v>63</v>
      </c>
      <c r="K58" s="4" t="str" cm="1">
        <f t="array" ref="K58">_xlfn.IFS(J58&lt;30, "Young Adult", J58&lt;50, "Adult", J58&gt;=50, "Senior")</f>
        <v>Senior</v>
      </c>
      <c r="L58" s="4" t="s">
        <v>17</v>
      </c>
      <c r="M58" s="4">
        <v>1</v>
      </c>
      <c r="N58" s="5">
        <v>30</v>
      </c>
      <c r="O58">
        <f>M58*N58</f>
        <v>30</v>
      </c>
      <c r="P58" s="14">
        <f>O58*$S$3</f>
        <v>0.44999999999999996</v>
      </c>
    </row>
    <row r="59" spans="1:16">
      <c r="A59" s="2">
        <v>58</v>
      </c>
      <c r="B59" s="4">
        <f>YEAR(G59)</f>
        <v>2023</v>
      </c>
      <c r="C59" s="4">
        <f>MONTH(G59)</f>
        <v>11</v>
      </c>
      <c r="D59" s="4">
        <f>DAY(G59)</f>
        <v>13</v>
      </c>
      <c r="E59" s="4" t="str">
        <f>TEXT(G59, "mmmm")</f>
        <v>November</v>
      </c>
      <c r="F59" s="4" t="str">
        <f>TEXT(G59, "dddd")</f>
        <v>Monday</v>
      </c>
      <c r="G59" s="3">
        <v>45243</v>
      </c>
      <c r="H59" s="4" t="s">
        <v>85</v>
      </c>
      <c r="I59" s="4" t="s">
        <v>16</v>
      </c>
      <c r="J59" s="4">
        <v>18</v>
      </c>
      <c r="K59" s="4" t="str" cm="1">
        <f t="array" ref="K59">_xlfn.IFS(J59&lt;30, "Young Adult", J59&lt;50, "Adult", J59&gt;=50, "Senior")</f>
        <v>Young Adult</v>
      </c>
      <c r="L59" s="4" t="s">
        <v>21</v>
      </c>
      <c r="M59" s="4">
        <v>4</v>
      </c>
      <c r="N59" s="5">
        <v>300</v>
      </c>
      <c r="O59">
        <f>M59*N59</f>
        <v>1200</v>
      </c>
      <c r="P59" s="14">
        <f>O59*$S$3</f>
        <v>18</v>
      </c>
    </row>
    <row r="60" spans="1:16">
      <c r="A60" s="2">
        <v>59</v>
      </c>
      <c r="B60" s="4">
        <f>YEAR(G60)</f>
        <v>2023</v>
      </c>
      <c r="C60" s="4">
        <f>MONTH(G60)</f>
        <v>7</v>
      </c>
      <c r="D60" s="4">
        <f>DAY(G60)</f>
        <v>5</v>
      </c>
      <c r="E60" s="4" t="str">
        <f>TEXT(G60, "mmmm")</f>
        <v>July</v>
      </c>
      <c r="F60" s="4" t="str">
        <f>TEXT(G60, "dddd")</f>
        <v>Wednesday</v>
      </c>
      <c r="G60" s="3">
        <v>45112</v>
      </c>
      <c r="H60" s="4" t="s">
        <v>86</v>
      </c>
      <c r="I60" s="4" t="s">
        <v>16</v>
      </c>
      <c r="J60" s="4">
        <v>62</v>
      </c>
      <c r="K60" s="4" t="str" cm="1">
        <f t="array" ref="K60">_xlfn.IFS(J60&lt;30, "Young Adult", J60&lt;50, "Adult", J60&gt;=50, "Senior")</f>
        <v>Senior</v>
      </c>
      <c r="L60" s="4" t="s">
        <v>21</v>
      </c>
      <c r="M60" s="4">
        <v>1</v>
      </c>
      <c r="N60" s="5">
        <v>50</v>
      </c>
      <c r="O60">
        <f>M60*N60</f>
        <v>50</v>
      </c>
      <c r="P60" s="14">
        <f>O60*$S$3</f>
        <v>0.75</v>
      </c>
    </row>
    <row r="61" spans="1:16">
      <c r="A61" s="2">
        <v>60</v>
      </c>
      <c r="B61" s="4">
        <f>YEAR(G61)</f>
        <v>2023</v>
      </c>
      <c r="C61" s="4">
        <f>MONTH(G61)</f>
        <v>10</v>
      </c>
      <c r="D61" s="4">
        <f>DAY(G61)</f>
        <v>23</v>
      </c>
      <c r="E61" s="4" t="str">
        <f>TEXT(G61, "mmmm")</f>
        <v>October</v>
      </c>
      <c r="F61" s="4" t="str">
        <f>TEXT(G61, "dddd")</f>
        <v>Monday</v>
      </c>
      <c r="G61" s="3">
        <v>45222</v>
      </c>
      <c r="H61" s="4" t="s">
        <v>87</v>
      </c>
      <c r="I61" s="4" t="s">
        <v>16</v>
      </c>
      <c r="J61" s="4">
        <v>30</v>
      </c>
      <c r="K61" s="4" t="str" cm="1">
        <f t="array" ref="K61">_xlfn.IFS(J61&lt;30, "Young Adult", J61&lt;50, "Adult", J61&gt;=50, "Senior")</f>
        <v>Adult</v>
      </c>
      <c r="L61" s="4" t="s">
        <v>17</v>
      </c>
      <c r="M61" s="4">
        <v>3</v>
      </c>
      <c r="N61" s="5">
        <v>50</v>
      </c>
      <c r="O61">
        <f>M61*N61</f>
        <v>150</v>
      </c>
      <c r="P61" s="14">
        <f>O61*$S$3</f>
        <v>2.25</v>
      </c>
    </row>
    <row r="62" spans="1:16">
      <c r="A62" s="2">
        <v>61</v>
      </c>
      <c r="B62" s="4">
        <f>YEAR(G62)</f>
        <v>2023</v>
      </c>
      <c r="C62" s="4">
        <f>MONTH(G62)</f>
        <v>4</v>
      </c>
      <c r="D62" s="4">
        <f>DAY(G62)</f>
        <v>9</v>
      </c>
      <c r="E62" s="4" t="str">
        <f>TEXT(G62, "mmmm")</f>
        <v>April</v>
      </c>
      <c r="F62" s="4" t="str">
        <f>TEXT(G62, "dddd")</f>
        <v>Sunday</v>
      </c>
      <c r="G62" s="3">
        <v>45025</v>
      </c>
      <c r="H62" s="4" t="s">
        <v>88</v>
      </c>
      <c r="I62" s="4" t="s">
        <v>16</v>
      </c>
      <c r="J62" s="4">
        <v>21</v>
      </c>
      <c r="K62" s="4" t="str" cm="1">
        <f t="array" ref="K62">_xlfn.IFS(J62&lt;30, "Young Adult", J62&lt;50, "Adult", J62&gt;=50, "Senior")</f>
        <v>Young Adult</v>
      </c>
      <c r="L62" s="4" t="s">
        <v>17</v>
      </c>
      <c r="M62" s="4">
        <v>4</v>
      </c>
      <c r="N62" s="5">
        <v>50</v>
      </c>
      <c r="O62">
        <f>M62*N62</f>
        <v>200</v>
      </c>
      <c r="P62" s="14">
        <f>O62*$S$3</f>
        <v>3</v>
      </c>
    </row>
    <row r="63" spans="1:16">
      <c r="A63" s="2">
        <v>62</v>
      </c>
      <c r="B63" s="4">
        <f>YEAR(G63)</f>
        <v>2023</v>
      </c>
      <c r="C63" s="4">
        <f>MONTH(G63)</f>
        <v>12</v>
      </c>
      <c r="D63" s="4">
        <f>DAY(G63)</f>
        <v>27</v>
      </c>
      <c r="E63" s="4" t="str">
        <f>TEXT(G63, "mmmm")</f>
        <v>December</v>
      </c>
      <c r="F63" s="4" t="str">
        <f>TEXT(G63, "dddd")</f>
        <v>Wednesday</v>
      </c>
      <c r="G63" s="3">
        <v>45287</v>
      </c>
      <c r="H63" s="4" t="s">
        <v>89</v>
      </c>
      <c r="I63" s="4" t="s">
        <v>16</v>
      </c>
      <c r="J63" s="4">
        <v>18</v>
      </c>
      <c r="K63" s="4" t="str" cm="1">
        <f t="array" ref="K63">_xlfn.IFS(J63&lt;30, "Young Adult", J63&lt;50, "Adult", J63&gt;=50, "Senior")</f>
        <v>Young Adult</v>
      </c>
      <c r="L63" s="4" t="s">
        <v>17</v>
      </c>
      <c r="M63" s="4">
        <v>2</v>
      </c>
      <c r="N63" s="5">
        <v>50</v>
      </c>
      <c r="O63">
        <f>M63*N63</f>
        <v>100</v>
      </c>
      <c r="P63" s="14">
        <f>O63*$S$3</f>
        <v>1.5</v>
      </c>
    </row>
    <row r="64" spans="1:16">
      <c r="A64" s="2">
        <v>63</v>
      </c>
      <c r="B64" s="4">
        <f>YEAR(G64)</f>
        <v>2023</v>
      </c>
      <c r="C64" s="4">
        <f>MONTH(G64)</f>
        <v>2</v>
      </c>
      <c r="D64" s="4">
        <f>DAY(G64)</f>
        <v>5</v>
      </c>
      <c r="E64" s="4" t="str">
        <f>TEXT(G64, "mmmm")</f>
        <v>February</v>
      </c>
      <c r="F64" s="4" t="str">
        <f>TEXT(G64, "dddd")</f>
        <v>Sunday</v>
      </c>
      <c r="G64" s="3">
        <v>44962</v>
      </c>
      <c r="H64" s="4" t="s">
        <v>90</v>
      </c>
      <c r="I64" s="4" t="s">
        <v>16</v>
      </c>
      <c r="J64" s="4">
        <v>57</v>
      </c>
      <c r="K64" s="4" t="str" cm="1">
        <f t="array" ref="K64">_xlfn.IFS(J64&lt;30, "Young Adult", J64&lt;50, "Adult", J64&gt;=50, "Senior")</f>
        <v>Senior</v>
      </c>
      <c r="L64" s="4" t="s">
        <v>24</v>
      </c>
      <c r="M64" s="4">
        <v>2</v>
      </c>
      <c r="N64" s="5">
        <v>25</v>
      </c>
      <c r="O64">
        <f>M64*N64</f>
        <v>50</v>
      </c>
      <c r="P64" s="14">
        <f>O64*$S$3</f>
        <v>0.75</v>
      </c>
    </row>
    <row r="65" spans="1:16">
      <c r="A65" s="2">
        <v>64</v>
      </c>
      <c r="B65" s="4">
        <f>YEAR(G65)</f>
        <v>2023</v>
      </c>
      <c r="C65" s="4">
        <f>MONTH(G65)</f>
        <v>1</v>
      </c>
      <c r="D65" s="4">
        <f>DAY(G65)</f>
        <v>24</v>
      </c>
      <c r="E65" s="4" t="str">
        <f>TEXT(G65, "mmmm")</f>
        <v>January</v>
      </c>
      <c r="F65" s="4" t="str">
        <f>TEXT(G65, "dddd")</f>
        <v>Tuesday</v>
      </c>
      <c r="G65" s="3">
        <v>44950</v>
      </c>
      <c r="H65" s="4" t="s">
        <v>91</v>
      </c>
      <c r="I65" s="4" t="s">
        <v>16</v>
      </c>
      <c r="J65" s="4">
        <v>49</v>
      </c>
      <c r="K65" s="4" t="str" cm="1">
        <f t="array" ref="K65">_xlfn.IFS(J65&lt;30, "Young Adult", J65&lt;50, "Adult", J65&gt;=50, "Senior")</f>
        <v>Adult</v>
      </c>
      <c r="L65" s="4" t="s">
        <v>21</v>
      </c>
      <c r="M65" s="4">
        <v>4</v>
      </c>
      <c r="N65" s="5">
        <v>25</v>
      </c>
      <c r="O65">
        <f>M65*N65</f>
        <v>100</v>
      </c>
      <c r="P65" s="14">
        <f>O65*$S$3</f>
        <v>1.5</v>
      </c>
    </row>
    <row r="66" spans="1:16">
      <c r="A66" s="2">
        <v>65</v>
      </c>
      <c r="B66" s="4">
        <f>YEAR(G66)</f>
        <v>2023</v>
      </c>
      <c r="C66" s="4">
        <f>MONTH(G66)</f>
        <v>12</v>
      </c>
      <c r="D66" s="4">
        <f>DAY(G66)</f>
        <v>5</v>
      </c>
      <c r="E66" s="4" t="str">
        <f>TEXT(G66, "mmmm")</f>
        <v>December</v>
      </c>
      <c r="F66" s="4" t="str">
        <f>TEXT(G66, "dddd")</f>
        <v>Tuesday</v>
      </c>
      <c r="G66" s="3">
        <v>45265</v>
      </c>
      <c r="H66" s="4" t="s">
        <v>92</v>
      </c>
      <c r="I66" s="4" t="s">
        <v>16</v>
      </c>
      <c r="J66" s="4">
        <v>51</v>
      </c>
      <c r="K66" s="4" t="str" cm="1">
        <f t="array" ref="K66">_xlfn.IFS(J66&lt;30, "Young Adult", J66&lt;50, "Adult", J66&gt;=50, "Senior")</f>
        <v>Senior</v>
      </c>
      <c r="L66" s="4" t="s">
        <v>24</v>
      </c>
      <c r="M66" s="4">
        <v>4</v>
      </c>
      <c r="N66" s="5">
        <v>500</v>
      </c>
      <c r="O66">
        <f>M66*N66</f>
        <v>2000</v>
      </c>
      <c r="P66" s="14">
        <f>O66*$S$3</f>
        <v>30</v>
      </c>
    </row>
    <row r="67" spans="1:16">
      <c r="A67" s="2">
        <v>66</v>
      </c>
      <c r="B67" s="4">
        <f>YEAR(G67)</f>
        <v>2023</v>
      </c>
      <c r="C67" s="4">
        <f>MONTH(G67)</f>
        <v>4</v>
      </c>
      <c r="D67" s="4">
        <f>DAY(G67)</f>
        <v>27</v>
      </c>
      <c r="E67" s="4" t="str">
        <f>TEXT(G67, "mmmm")</f>
        <v>April</v>
      </c>
      <c r="F67" s="4" t="str">
        <f>TEXT(G67, "dddd")</f>
        <v>Thursday</v>
      </c>
      <c r="G67" s="3">
        <v>45043</v>
      </c>
      <c r="H67" s="4" t="s">
        <v>93</v>
      </c>
      <c r="I67" s="4" t="s">
        <v>20</v>
      </c>
      <c r="J67" s="4">
        <v>45</v>
      </c>
      <c r="K67" s="4" t="str" cm="1">
        <f t="array" ref="K67">_xlfn.IFS(J67&lt;30, "Young Adult", J67&lt;50, "Adult", J67&gt;=50, "Senior")</f>
        <v>Adult</v>
      </c>
      <c r="L67" s="4" t="s">
        <v>24</v>
      </c>
      <c r="M67" s="4">
        <v>1</v>
      </c>
      <c r="N67" s="5">
        <v>30</v>
      </c>
      <c r="O67">
        <f>M67*N67</f>
        <v>30</v>
      </c>
      <c r="P67" s="14">
        <f>O67*$S$3</f>
        <v>0.44999999999999996</v>
      </c>
    </row>
    <row r="68" spans="1:16">
      <c r="A68" s="2">
        <v>67</v>
      </c>
      <c r="B68" s="4">
        <f>YEAR(G68)</f>
        <v>2023</v>
      </c>
      <c r="C68" s="4">
        <f>MONTH(G68)</f>
        <v>5</v>
      </c>
      <c r="D68" s="4">
        <f>DAY(G68)</f>
        <v>29</v>
      </c>
      <c r="E68" s="4" t="str">
        <f>TEXT(G68, "mmmm")</f>
        <v>May</v>
      </c>
      <c r="F68" s="4" t="str">
        <f>TEXT(G68, "dddd")</f>
        <v>Monday</v>
      </c>
      <c r="G68" s="3">
        <v>45075</v>
      </c>
      <c r="H68" s="4" t="s">
        <v>94</v>
      </c>
      <c r="I68" s="4" t="s">
        <v>20</v>
      </c>
      <c r="J68" s="4">
        <v>48</v>
      </c>
      <c r="K68" s="4" t="str" cm="1">
        <f t="array" ref="K68">_xlfn.IFS(J68&lt;30, "Young Adult", J68&lt;50, "Adult", J68&gt;=50, "Senior")</f>
        <v>Adult</v>
      </c>
      <c r="L68" s="4" t="s">
        <v>17</v>
      </c>
      <c r="M68" s="4">
        <v>4</v>
      </c>
      <c r="N68" s="5">
        <v>300</v>
      </c>
      <c r="O68">
        <f>M68*N68</f>
        <v>1200</v>
      </c>
      <c r="P68" s="14">
        <f>O68*$S$3</f>
        <v>18</v>
      </c>
    </row>
    <row r="69" spans="1:16">
      <c r="A69" s="2">
        <v>68</v>
      </c>
      <c r="B69" s="4">
        <f>YEAR(G69)</f>
        <v>2023</v>
      </c>
      <c r="C69" s="4">
        <f>MONTH(G69)</f>
        <v>2</v>
      </c>
      <c r="D69" s="4">
        <f>DAY(G69)</f>
        <v>10</v>
      </c>
      <c r="E69" s="4" t="str">
        <f>TEXT(G69, "mmmm")</f>
        <v>February</v>
      </c>
      <c r="F69" s="4" t="str">
        <f>TEXT(G69, "dddd")</f>
        <v>Friday</v>
      </c>
      <c r="G69" s="3">
        <v>44967</v>
      </c>
      <c r="H69" s="4" t="s">
        <v>95</v>
      </c>
      <c r="I69" s="4" t="s">
        <v>16</v>
      </c>
      <c r="J69" s="4">
        <v>25</v>
      </c>
      <c r="K69" s="4" t="str" cm="1">
        <f t="array" ref="K69">_xlfn.IFS(J69&lt;30, "Young Adult", J69&lt;50, "Adult", J69&gt;=50, "Senior")</f>
        <v>Young Adult</v>
      </c>
      <c r="L69" s="4" t="s">
        <v>24</v>
      </c>
      <c r="M69" s="4">
        <v>1</v>
      </c>
      <c r="N69" s="5">
        <v>300</v>
      </c>
      <c r="O69">
        <f>M69*N69</f>
        <v>300</v>
      </c>
      <c r="P69" s="14">
        <f>O69*$S$3</f>
        <v>4.5</v>
      </c>
    </row>
    <row r="70" spans="1:16">
      <c r="A70" s="2">
        <v>69</v>
      </c>
      <c r="B70" s="4">
        <f>YEAR(G70)</f>
        <v>2023</v>
      </c>
      <c r="C70" s="4">
        <f>MONTH(G70)</f>
        <v>4</v>
      </c>
      <c r="D70" s="4">
        <f>DAY(G70)</f>
        <v>30</v>
      </c>
      <c r="E70" s="4" t="str">
        <f>TEXT(G70, "mmmm")</f>
        <v>April</v>
      </c>
      <c r="F70" s="4" t="str">
        <f>TEXT(G70, "dddd")</f>
        <v>Sunday</v>
      </c>
      <c r="G70" s="3">
        <v>45046</v>
      </c>
      <c r="H70" s="4" t="s">
        <v>96</v>
      </c>
      <c r="I70" s="4" t="s">
        <v>20</v>
      </c>
      <c r="J70" s="4">
        <v>56</v>
      </c>
      <c r="K70" s="4" t="str" cm="1">
        <f t="array" ref="K70">_xlfn.IFS(J70&lt;30, "Young Adult", J70&lt;50, "Adult", J70&gt;=50, "Senior")</f>
        <v>Senior</v>
      </c>
      <c r="L70" s="4" t="s">
        <v>17</v>
      </c>
      <c r="M70" s="4">
        <v>3</v>
      </c>
      <c r="N70" s="5">
        <v>25</v>
      </c>
      <c r="O70">
        <f>M70*N70</f>
        <v>75</v>
      </c>
      <c r="P70" s="14">
        <f>O70*$S$3</f>
        <v>1.125</v>
      </c>
    </row>
    <row r="71" spans="1:16">
      <c r="A71" s="2">
        <v>70</v>
      </c>
      <c r="B71" s="4">
        <f>YEAR(G71)</f>
        <v>2023</v>
      </c>
      <c r="C71" s="4">
        <f>MONTH(G71)</f>
        <v>2</v>
      </c>
      <c r="D71" s="4">
        <f>DAY(G71)</f>
        <v>21</v>
      </c>
      <c r="E71" s="4" t="str">
        <f>TEXT(G71, "mmmm")</f>
        <v>February</v>
      </c>
      <c r="F71" s="4" t="str">
        <f>TEXT(G71, "dddd")</f>
        <v>Tuesday</v>
      </c>
      <c r="G71" s="3">
        <v>44978</v>
      </c>
      <c r="H71" s="4" t="s">
        <v>97</v>
      </c>
      <c r="I71" s="4" t="s">
        <v>20</v>
      </c>
      <c r="J71" s="4">
        <v>43</v>
      </c>
      <c r="K71" s="4" t="str" cm="1">
        <f t="array" ref="K71">_xlfn.IFS(J71&lt;30, "Young Adult", J71&lt;50, "Adult", J71&gt;=50, "Senior")</f>
        <v>Adult</v>
      </c>
      <c r="L71" s="4" t="s">
        <v>21</v>
      </c>
      <c r="M71" s="4">
        <v>1</v>
      </c>
      <c r="N71" s="5">
        <v>300</v>
      </c>
      <c r="O71">
        <f>M71*N71</f>
        <v>300</v>
      </c>
      <c r="P71" s="14">
        <f>O71*$S$3</f>
        <v>4.5</v>
      </c>
    </row>
    <row r="72" spans="1:16">
      <c r="A72" s="2">
        <v>71</v>
      </c>
      <c r="B72" s="4">
        <f>YEAR(G72)</f>
        <v>2023</v>
      </c>
      <c r="C72" s="4">
        <f>MONTH(G72)</f>
        <v>7</v>
      </c>
      <c r="D72" s="4">
        <f>DAY(G72)</f>
        <v>14</v>
      </c>
      <c r="E72" s="4" t="str">
        <f>TEXT(G72, "mmmm")</f>
        <v>July</v>
      </c>
      <c r="F72" s="4" t="str">
        <f>TEXT(G72, "dddd")</f>
        <v>Friday</v>
      </c>
      <c r="G72" s="3">
        <v>45121</v>
      </c>
      <c r="H72" s="4" t="s">
        <v>98</v>
      </c>
      <c r="I72" s="4" t="s">
        <v>20</v>
      </c>
      <c r="J72" s="4">
        <v>51</v>
      </c>
      <c r="K72" s="4" t="str" cm="1">
        <f t="array" ref="K72">_xlfn.IFS(J72&lt;30, "Young Adult", J72&lt;50, "Adult", J72&gt;=50, "Senior")</f>
        <v>Senior</v>
      </c>
      <c r="L72" s="4" t="s">
        <v>17</v>
      </c>
      <c r="M72" s="4">
        <v>4</v>
      </c>
      <c r="N72" s="5">
        <v>25</v>
      </c>
      <c r="O72">
        <f>M72*N72</f>
        <v>100</v>
      </c>
      <c r="P72" s="14">
        <f>O72*$S$3</f>
        <v>1.5</v>
      </c>
    </row>
    <row r="73" spans="1:16">
      <c r="A73" s="2">
        <v>72</v>
      </c>
      <c r="B73" s="4">
        <f>YEAR(G73)</f>
        <v>2023</v>
      </c>
      <c r="C73" s="4">
        <f>MONTH(G73)</f>
        <v>5</v>
      </c>
      <c r="D73" s="4">
        <f>DAY(G73)</f>
        <v>23</v>
      </c>
      <c r="E73" s="4" t="str">
        <f>TEXT(G73, "mmmm")</f>
        <v>May</v>
      </c>
      <c r="F73" s="4" t="str">
        <f>TEXT(G73, "dddd")</f>
        <v>Tuesday</v>
      </c>
      <c r="G73" s="3">
        <v>45069</v>
      </c>
      <c r="H73" s="4" t="s">
        <v>99</v>
      </c>
      <c r="I73" s="4" t="s">
        <v>20</v>
      </c>
      <c r="J73" s="4">
        <v>20</v>
      </c>
      <c r="K73" s="4" t="str" cm="1">
        <f t="array" ref="K73">_xlfn.IFS(J73&lt;30, "Young Adult", J73&lt;50, "Adult", J73&gt;=50, "Senior")</f>
        <v>Young Adult</v>
      </c>
      <c r="L73" s="4" t="s">
        <v>24</v>
      </c>
      <c r="M73" s="4">
        <v>4</v>
      </c>
      <c r="N73" s="5">
        <v>500</v>
      </c>
      <c r="O73">
        <f>M73*N73</f>
        <v>2000</v>
      </c>
      <c r="P73" s="14">
        <f>O73*$S$3</f>
        <v>30</v>
      </c>
    </row>
    <row r="74" spans="1:16">
      <c r="A74" s="2">
        <v>73</v>
      </c>
      <c r="B74" s="4">
        <f>YEAR(G74)</f>
        <v>2023</v>
      </c>
      <c r="C74" s="4">
        <f>MONTH(G74)</f>
        <v>8</v>
      </c>
      <c r="D74" s="4">
        <f>DAY(G74)</f>
        <v>21</v>
      </c>
      <c r="E74" s="4" t="str">
        <f>TEXT(G74, "mmmm")</f>
        <v>August</v>
      </c>
      <c r="F74" s="4" t="str">
        <f>TEXT(G74, "dddd")</f>
        <v>Monday</v>
      </c>
      <c r="G74" s="3">
        <v>45159</v>
      </c>
      <c r="H74" s="4" t="s">
        <v>100</v>
      </c>
      <c r="I74" s="4" t="s">
        <v>16</v>
      </c>
      <c r="J74" s="4">
        <v>29</v>
      </c>
      <c r="K74" s="4" t="str" cm="1">
        <f t="array" ref="K74">_xlfn.IFS(J74&lt;30, "Young Adult", J74&lt;50, "Adult", J74&gt;=50, "Senior")</f>
        <v>Young Adult</v>
      </c>
      <c r="L74" s="4" t="s">
        <v>24</v>
      </c>
      <c r="M74" s="4">
        <v>3</v>
      </c>
      <c r="N74" s="5">
        <v>30</v>
      </c>
      <c r="O74">
        <f>M74*N74</f>
        <v>90</v>
      </c>
      <c r="P74" s="14">
        <f>O74*$S$3</f>
        <v>1.3499999999999999</v>
      </c>
    </row>
    <row r="75" spans="1:16">
      <c r="A75" s="2">
        <v>74</v>
      </c>
      <c r="B75" s="4">
        <f>YEAR(G75)</f>
        <v>2023</v>
      </c>
      <c r="C75" s="4">
        <f>MONTH(G75)</f>
        <v>11</v>
      </c>
      <c r="D75" s="4">
        <f>DAY(G75)</f>
        <v>22</v>
      </c>
      <c r="E75" s="4" t="str">
        <f>TEXT(G75, "mmmm")</f>
        <v>November</v>
      </c>
      <c r="F75" s="4" t="str">
        <f>TEXT(G75, "dddd")</f>
        <v>Wednesday</v>
      </c>
      <c r="G75" s="3">
        <v>45252</v>
      </c>
      <c r="H75" s="4" t="s">
        <v>101</v>
      </c>
      <c r="I75" s="4" t="s">
        <v>20</v>
      </c>
      <c r="J75" s="4">
        <v>18</v>
      </c>
      <c r="K75" s="4" t="str" cm="1">
        <f t="array" ref="K75">_xlfn.IFS(J75&lt;30, "Young Adult", J75&lt;50, "Adult", J75&gt;=50, "Senior")</f>
        <v>Young Adult</v>
      </c>
      <c r="L75" s="4" t="s">
        <v>17</v>
      </c>
      <c r="M75" s="4">
        <v>4</v>
      </c>
      <c r="N75" s="5">
        <v>500</v>
      </c>
      <c r="O75">
        <f>M75*N75</f>
        <v>2000</v>
      </c>
      <c r="P75" s="14">
        <f>O75*$S$3</f>
        <v>30</v>
      </c>
    </row>
    <row r="76" spans="1:16">
      <c r="A76" s="2">
        <v>75</v>
      </c>
      <c r="B76" s="4">
        <f>YEAR(G76)</f>
        <v>2023</v>
      </c>
      <c r="C76" s="4">
        <f>MONTH(G76)</f>
        <v>7</v>
      </c>
      <c r="D76" s="4">
        <f>DAY(G76)</f>
        <v>6</v>
      </c>
      <c r="E76" s="4" t="str">
        <f>TEXT(G76, "mmmm")</f>
        <v>July</v>
      </c>
      <c r="F76" s="4" t="str">
        <f>TEXT(G76, "dddd")</f>
        <v>Thursday</v>
      </c>
      <c r="G76" s="3">
        <v>45113</v>
      </c>
      <c r="H76" s="4" t="s">
        <v>102</v>
      </c>
      <c r="I76" s="4" t="s">
        <v>16</v>
      </c>
      <c r="J76" s="4">
        <v>61</v>
      </c>
      <c r="K76" s="4" t="str" cm="1">
        <f t="array" ref="K76">_xlfn.IFS(J76&lt;30, "Young Adult", J76&lt;50, "Adult", J76&gt;=50, "Senior")</f>
        <v>Senior</v>
      </c>
      <c r="L76" s="4" t="s">
        <v>17</v>
      </c>
      <c r="M76" s="4">
        <v>4</v>
      </c>
      <c r="N76" s="5">
        <v>50</v>
      </c>
      <c r="O76">
        <f>M76*N76</f>
        <v>200</v>
      </c>
      <c r="P76" s="14">
        <f>O76*$S$3</f>
        <v>3</v>
      </c>
    </row>
    <row r="77" spans="1:16">
      <c r="A77" s="2">
        <v>76</v>
      </c>
      <c r="B77" s="4">
        <f>YEAR(G77)</f>
        <v>2023</v>
      </c>
      <c r="C77" s="4">
        <f>MONTH(G77)</f>
        <v>3</v>
      </c>
      <c r="D77" s="4">
        <f>DAY(G77)</f>
        <v>25</v>
      </c>
      <c r="E77" s="4" t="str">
        <f>TEXT(G77, "mmmm")</f>
        <v>March</v>
      </c>
      <c r="F77" s="4" t="str">
        <f>TEXT(G77, "dddd")</f>
        <v>Saturday</v>
      </c>
      <c r="G77" s="3">
        <v>45010</v>
      </c>
      <c r="H77" s="4" t="s">
        <v>103</v>
      </c>
      <c r="I77" s="4" t="s">
        <v>20</v>
      </c>
      <c r="J77" s="4">
        <v>22</v>
      </c>
      <c r="K77" s="4" t="str" cm="1">
        <f t="array" ref="K77">_xlfn.IFS(J77&lt;30, "Young Adult", J77&lt;50, "Adult", J77&gt;=50, "Senior")</f>
        <v>Young Adult</v>
      </c>
      <c r="L77" s="4" t="s">
        <v>24</v>
      </c>
      <c r="M77" s="4">
        <v>2</v>
      </c>
      <c r="N77" s="5">
        <v>50</v>
      </c>
      <c r="O77">
        <f>M77*N77</f>
        <v>100</v>
      </c>
      <c r="P77" s="14">
        <f>O77*$S$3</f>
        <v>1.5</v>
      </c>
    </row>
    <row r="78" spans="1:16">
      <c r="A78" s="2">
        <v>77</v>
      </c>
      <c r="B78" s="4">
        <f>YEAR(G78)</f>
        <v>2023</v>
      </c>
      <c r="C78" s="4">
        <f>MONTH(G78)</f>
        <v>7</v>
      </c>
      <c r="D78" s="4">
        <f>DAY(G78)</f>
        <v>9</v>
      </c>
      <c r="E78" s="4" t="str">
        <f>TEXT(G78, "mmmm")</f>
        <v>July</v>
      </c>
      <c r="F78" s="4" t="str">
        <f>TEXT(G78, "dddd")</f>
        <v>Sunday</v>
      </c>
      <c r="G78" s="3">
        <v>45116</v>
      </c>
      <c r="H78" s="4" t="s">
        <v>104</v>
      </c>
      <c r="I78" s="4" t="s">
        <v>20</v>
      </c>
      <c r="J78" s="4">
        <v>47</v>
      </c>
      <c r="K78" s="4" t="str" cm="1">
        <f t="array" ref="K78">_xlfn.IFS(J78&lt;30, "Young Adult", J78&lt;50, "Adult", J78&gt;=50, "Senior")</f>
        <v>Adult</v>
      </c>
      <c r="L78" s="4" t="s">
        <v>21</v>
      </c>
      <c r="M78" s="4">
        <v>2</v>
      </c>
      <c r="N78" s="5">
        <v>50</v>
      </c>
      <c r="O78">
        <f>M78*N78</f>
        <v>100</v>
      </c>
      <c r="P78" s="14">
        <f>O78*$S$3</f>
        <v>1.5</v>
      </c>
    </row>
    <row r="79" spans="1:16">
      <c r="A79" s="2">
        <v>78</v>
      </c>
      <c r="B79" s="4">
        <f>YEAR(G79)</f>
        <v>2023</v>
      </c>
      <c r="C79" s="4">
        <f>MONTH(G79)</f>
        <v>7</v>
      </c>
      <c r="D79" s="4">
        <f>DAY(G79)</f>
        <v>1</v>
      </c>
      <c r="E79" s="4" t="str">
        <f>TEXT(G79, "mmmm")</f>
        <v>July</v>
      </c>
      <c r="F79" s="4" t="str">
        <f>TEXT(G79, "dddd")</f>
        <v>Saturday</v>
      </c>
      <c r="G79" s="3">
        <v>45108</v>
      </c>
      <c r="H79" s="4" t="s">
        <v>105</v>
      </c>
      <c r="I79" s="4" t="s">
        <v>20</v>
      </c>
      <c r="J79" s="4">
        <v>47</v>
      </c>
      <c r="K79" s="4" t="str" cm="1">
        <f t="array" ref="K79">_xlfn.IFS(J79&lt;30, "Young Adult", J79&lt;50, "Adult", J79&gt;=50, "Senior")</f>
        <v>Adult</v>
      </c>
      <c r="L79" s="4" t="s">
        <v>21</v>
      </c>
      <c r="M79" s="4">
        <v>3</v>
      </c>
      <c r="N79" s="5">
        <v>500</v>
      </c>
      <c r="O79">
        <f>M79*N79</f>
        <v>1500</v>
      </c>
      <c r="P79" s="14">
        <f>O79*$S$3</f>
        <v>22.5</v>
      </c>
    </row>
    <row r="80" spans="1:16">
      <c r="A80" s="2">
        <v>79</v>
      </c>
      <c r="B80" s="4">
        <f>YEAR(G80)</f>
        <v>2023</v>
      </c>
      <c r="C80" s="4">
        <f>MONTH(G80)</f>
        <v>4</v>
      </c>
      <c r="D80" s="4">
        <f>DAY(G80)</f>
        <v>18</v>
      </c>
      <c r="E80" s="4" t="str">
        <f>TEXT(G80, "mmmm")</f>
        <v>April</v>
      </c>
      <c r="F80" s="4" t="str">
        <f>TEXT(G80, "dddd")</f>
        <v>Tuesday</v>
      </c>
      <c r="G80" s="3">
        <v>45034</v>
      </c>
      <c r="H80" s="4" t="s">
        <v>106</v>
      </c>
      <c r="I80" s="4" t="s">
        <v>16</v>
      </c>
      <c r="J80" s="4">
        <v>34</v>
      </c>
      <c r="K80" s="4" t="str" cm="1">
        <f t="array" ref="K80">_xlfn.IFS(J80&lt;30, "Young Adult", J80&lt;50, "Adult", J80&gt;=50, "Senior")</f>
        <v>Adult</v>
      </c>
      <c r="L80" s="4" t="s">
        <v>17</v>
      </c>
      <c r="M80" s="4">
        <v>1</v>
      </c>
      <c r="N80" s="5">
        <v>300</v>
      </c>
      <c r="O80">
        <f>M80*N80</f>
        <v>300</v>
      </c>
      <c r="P80" s="14">
        <f>O80*$S$3</f>
        <v>4.5</v>
      </c>
    </row>
    <row r="81" spans="1:16">
      <c r="A81" s="2">
        <v>80</v>
      </c>
      <c r="B81" s="4">
        <f>YEAR(G81)</f>
        <v>2023</v>
      </c>
      <c r="C81" s="4">
        <f>MONTH(G81)</f>
        <v>12</v>
      </c>
      <c r="D81" s="4">
        <f>DAY(G81)</f>
        <v>10</v>
      </c>
      <c r="E81" s="4" t="str">
        <f>TEXT(G81, "mmmm")</f>
        <v>December</v>
      </c>
      <c r="F81" s="4" t="str">
        <f>TEXT(G81, "dddd")</f>
        <v>Sunday</v>
      </c>
      <c r="G81" s="3">
        <v>45270</v>
      </c>
      <c r="H81" s="4" t="s">
        <v>107</v>
      </c>
      <c r="I81" s="4" t="s">
        <v>20</v>
      </c>
      <c r="J81" s="4">
        <v>64</v>
      </c>
      <c r="K81" s="4" t="str" cm="1">
        <f t="array" ref="K81">_xlfn.IFS(J81&lt;30, "Young Adult", J81&lt;50, "Adult", J81&gt;=50, "Senior")</f>
        <v>Senior</v>
      </c>
      <c r="L81" s="4" t="s">
        <v>21</v>
      </c>
      <c r="M81" s="4">
        <v>2</v>
      </c>
      <c r="N81" s="5">
        <v>30</v>
      </c>
      <c r="O81">
        <f>M81*N81</f>
        <v>60</v>
      </c>
      <c r="P81" s="14">
        <f>O81*$S$3</f>
        <v>0.89999999999999991</v>
      </c>
    </row>
    <row r="82" spans="1:16">
      <c r="A82" s="2">
        <v>81</v>
      </c>
      <c r="B82" s="4">
        <f>YEAR(G82)</f>
        <v>2023</v>
      </c>
      <c r="C82" s="4">
        <f>MONTH(G82)</f>
        <v>5</v>
      </c>
      <c r="D82" s="4">
        <f>DAY(G82)</f>
        <v>17</v>
      </c>
      <c r="E82" s="4" t="str">
        <f>TEXT(G82, "mmmm")</f>
        <v>May</v>
      </c>
      <c r="F82" s="4" t="str">
        <f>TEXT(G82, "dddd")</f>
        <v>Wednesday</v>
      </c>
      <c r="G82" s="3">
        <v>45063</v>
      </c>
      <c r="H82" s="4" t="s">
        <v>108</v>
      </c>
      <c r="I82" s="4" t="s">
        <v>16</v>
      </c>
      <c r="J82" s="4">
        <v>40</v>
      </c>
      <c r="K82" s="4" t="str" cm="1">
        <f t="array" ref="K82">_xlfn.IFS(J82&lt;30, "Young Adult", J82&lt;50, "Adult", J82&gt;=50, "Senior")</f>
        <v>Adult</v>
      </c>
      <c r="L82" s="4" t="s">
        <v>24</v>
      </c>
      <c r="M82" s="4">
        <v>1</v>
      </c>
      <c r="N82" s="5">
        <v>50</v>
      </c>
      <c r="O82">
        <f>M82*N82</f>
        <v>50</v>
      </c>
      <c r="P82" s="14">
        <f>O82*$S$3</f>
        <v>0.75</v>
      </c>
    </row>
    <row r="83" spans="1:16">
      <c r="A83" s="2">
        <v>82</v>
      </c>
      <c r="B83" s="4">
        <f>YEAR(G83)</f>
        <v>2023</v>
      </c>
      <c r="C83" s="4">
        <f>MONTH(G83)</f>
        <v>12</v>
      </c>
      <c r="D83" s="4">
        <f>DAY(G83)</f>
        <v>26</v>
      </c>
      <c r="E83" s="4" t="str">
        <f>TEXT(G83, "mmmm")</f>
        <v>December</v>
      </c>
      <c r="F83" s="4" t="str">
        <f>TEXT(G83, "dddd")</f>
        <v>Tuesday</v>
      </c>
      <c r="G83" s="3">
        <v>45286</v>
      </c>
      <c r="H83" s="4" t="s">
        <v>109</v>
      </c>
      <c r="I83" s="4" t="s">
        <v>20</v>
      </c>
      <c r="J83" s="4">
        <v>32</v>
      </c>
      <c r="K83" s="4" t="str" cm="1">
        <f t="array" ref="K83">_xlfn.IFS(J83&lt;30, "Young Adult", J83&lt;50, "Adult", J83&gt;=50, "Senior")</f>
        <v>Adult</v>
      </c>
      <c r="L83" s="4" t="s">
        <v>17</v>
      </c>
      <c r="M83" s="4">
        <v>4</v>
      </c>
      <c r="N83" s="5">
        <v>50</v>
      </c>
      <c r="O83">
        <f>M83*N83</f>
        <v>200</v>
      </c>
      <c r="P83" s="14">
        <f>O83*$S$3</f>
        <v>3</v>
      </c>
    </row>
    <row r="84" spans="1:16">
      <c r="A84" s="2">
        <v>83</v>
      </c>
      <c r="B84" s="4">
        <f>YEAR(G84)</f>
        <v>2023</v>
      </c>
      <c r="C84" s="4">
        <f>MONTH(G84)</f>
        <v>12</v>
      </c>
      <c r="D84" s="4">
        <f>DAY(G84)</f>
        <v>16</v>
      </c>
      <c r="E84" s="4" t="str">
        <f>TEXT(G84, "mmmm")</f>
        <v>December</v>
      </c>
      <c r="F84" s="4" t="str">
        <f>TEXT(G84, "dddd")</f>
        <v>Saturday</v>
      </c>
      <c r="G84" s="3">
        <v>45276</v>
      </c>
      <c r="H84" s="4" t="s">
        <v>110</v>
      </c>
      <c r="I84" s="4" t="s">
        <v>16</v>
      </c>
      <c r="J84" s="4">
        <v>54</v>
      </c>
      <c r="K84" s="4" t="str" cm="1">
        <f t="array" ref="K84">_xlfn.IFS(J84&lt;30, "Young Adult", J84&lt;50, "Adult", J84&gt;=50, "Senior")</f>
        <v>Senior</v>
      </c>
      <c r="L84" s="4" t="s">
        <v>24</v>
      </c>
      <c r="M84" s="4">
        <v>2</v>
      </c>
      <c r="N84" s="5">
        <v>50</v>
      </c>
      <c r="O84">
        <f>M84*N84</f>
        <v>100</v>
      </c>
      <c r="P84" s="14">
        <f>O84*$S$3</f>
        <v>1.5</v>
      </c>
    </row>
    <row r="85" spans="1:16">
      <c r="A85" s="2">
        <v>84</v>
      </c>
      <c r="B85" s="4">
        <f>YEAR(G85)</f>
        <v>2023</v>
      </c>
      <c r="C85" s="4">
        <f>MONTH(G85)</f>
        <v>11</v>
      </c>
      <c r="D85" s="4">
        <f>DAY(G85)</f>
        <v>28</v>
      </c>
      <c r="E85" s="4" t="str">
        <f>TEXT(G85, "mmmm")</f>
        <v>November</v>
      </c>
      <c r="F85" s="4" t="str">
        <f>TEXT(G85, "dddd")</f>
        <v>Tuesday</v>
      </c>
      <c r="G85" s="3">
        <v>45258</v>
      </c>
      <c r="H85" s="4" t="s">
        <v>111</v>
      </c>
      <c r="I85" s="4" t="s">
        <v>20</v>
      </c>
      <c r="J85" s="4">
        <v>38</v>
      </c>
      <c r="K85" s="4" t="str" cm="1">
        <f t="array" ref="K85">_xlfn.IFS(J85&lt;30, "Young Adult", J85&lt;50, "Adult", J85&gt;=50, "Senior")</f>
        <v>Adult</v>
      </c>
      <c r="L85" s="4" t="s">
        <v>24</v>
      </c>
      <c r="M85" s="4">
        <v>3</v>
      </c>
      <c r="N85" s="5">
        <v>30</v>
      </c>
      <c r="O85">
        <f>M85*N85</f>
        <v>90</v>
      </c>
      <c r="P85" s="14">
        <f>O85*$S$3</f>
        <v>1.3499999999999999</v>
      </c>
    </row>
    <row r="86" spans="1:16">
      <c r="A86" s="2">
        <v>85</v>
      </c>
      <c r="B86" s="4">
        <f>YEAR(G86)</f>
        <v>2023</v>
      </c>
      <c r="C86" s="4">
        <f>MONTH(G86)</f>
        <v>2</v>
      </c>
      <c r="D86" s="4">
        <f>DAY(G86)</f>
        <v>6</v>
      </c>
      <c r="E86" s="4" t="str">
        <f>TEXT(G86, "mmmm")</f>
        <v>February</v>
      </c>
      <c r="F86" s="4" t="str">
        <f>TEXT(G86, "dddd")</f>
        <v>Monday</v>
      </c>
      <c r="G86" s="3">
        <v>44963</v>
      </c>
      <c r="H86" s="4" t="s">
        <v>112</v>
      </c>
      <c r="I86" s="4" t="s">
        <v>16</v>
      </c>
      <c r="J86" s="4">
        <v>31</v>
      </c>
      <c r="K86" s="4" t="str" cm="1">
        <f t="array" ref="K86">_xlfn.IFS(J86&lt;30, "Young Adult", J86&lt;50, "Adult", J86&gt;=50, "Senior")</f>
        <v>Adult</v>
      </c>
      <c r="L86" s="4" t="s">
        <v>21</v>
      </c>
      <c r="M86" s="4">
        <v>3</v>
      </c>
      <c r="N86" s="5">
        <v>50</v>
      </c>
      <c r="O86">
        <f>M86*N86</f>
        <v>150</v>
      </c>
      <c r="P86" s="14">
        <f>O86*$S$3</f>
        <v>2.25</v>
      </c>
    </row>
    <row r="87" spans="1:16">
      <c r="A87" s="2">
        <v>86</v>
      </c>
      <c r="B87" s="4">
        <f>YEAR(G87)</f>
        <v>2023</v>
      </c>
      <c r="C87" s="4">
        <f>MONTH(G87)</f>
        <v>11</v>
      </c>
      <c r="D87" s="4">
        <f>DAY(G87)</f>
        <v>8</v>
      </c>
      <c r="E87" s="4" t="str">
        <f>TEXT(G87, "mmmm")</f>
        <v>November</v>
      </c>
      <c r="F87" s="4" t="str">
        <f>TEXT(G87, "dddd")</f>
        <v>Wednesday</v>
      </c>
      <c r="G87" s="3">
        <v>45238</v>
      </c>
      <c r="H87" s="4" t="s">
        <v>113</v>
      </c>
      <c r="I87" s="4" t="s">
        <v>16</v>
      </c>
      <c r="J87" s="4">
        <v>19</v>
      </c>
      <c r="K87" s="4" t="str" cm="1">
        <f t="array" ref="K87">_xlfn.IFS(J87&lt;30, "Young Adult", J87&lt;50, "Adult", J87&gt;=50, "Senior")</f>
        <v>Young Adult</v>
      </c>
      <c r="L87" s="4" t="s">
        <v>17</v>
      </c>
      <c r="M87" s="4">
        <v>3</v>
      </c>
      <c r="N87" s="5">
        <v>30</v>
      </c>
      <c r="O87">
        <f>M87*N87</f>
        <v>90</v>
      </c>
      <c r="P87" s="14">
        <f>O87*$S$3</f>
        <v>1.3499999999999999</v>
      </c>
    </row>
    <row r="88" spans="1:16">
      <c r="A88" s="2">
        <v>87</v>
      </c>
      <c r="B88" s="4">
        <f>YEAR(G88)</f>
        <v>2023</v>
      </c>
      <c r="C88" s="4">
        <f>MONTH(G88)</f>
        <v>11</v>
      </c>
      <c r="D88" s="4">
        <f>DAY(G88)</f>
        <v>22</v>
      </c>
      <c r="E88" s="4" t="str">
        <f>TEXT(G88, "mmmm")</f>
        <v>November</v>
      </c>
      <c r="F88" s="4" t="str">
        <f>TEXT(G88, "dddd")</f>
        <v>Wednesday</v>
      </c>
      <c r="G88" s="3">
        <v>45252</v>
      </c>
      <c r="H88" s="4" t="s">
        <v>114</v>
      </c>
      <c r="I88" s="4" t="s">
        <v>20</v>
      </c>
      <c r="J88" s="4">
        <v>28</v>
      </c>
      <c r="K88" s="4" t="str" cm="1">
        <f t="array" ref="K88">_xlfn.IFS(J88&lt;30, "Young Adult", J88&lt;50, "Adult", J88&gt;=50, "Senior")</f>
        <v>Young Adult</v>
      </c>
      <c r="L88" s="4" t="s">
        <v>17</v>
      </c>
      <c r="M88" s="4">
        <v>2</v>
      </c>
      <c r="N88" s="5">
        <v>50</v>
      </c>
      <c r="O88">
        <f>M88*N88</f>
        <v>100</v>
      </c>
      <c r="P88" s="14">
        <f>O88*$S$3</f>
        <v>1.5</v>
      </c>
    </row>
    <row r="89" spans="1:16">
      <c r="A89" s="2">
        <v>88</v>
      </c>
      <c r="B89" s="4">
        <f>YEAR(G89)</f>
        <v>2023</v>
      </c>
      <c r="C89" s="4">
        <f>MONTH(G89)</f>
        <v>3</v>
      </c>
      <c r="D89" s="4">
        <f>DAY(G89)</f>
        <v>29</v>
      </c>
      <c r="E89" s="4" t="str">
        <f>TEXT(G89, "mmmm")</f>
        <v>March</v>
      </c>
      <c r="F89" s="4" t="str">
        <f>TEXT(G89, "dddd")</f>
        <v>Wednesday</v>
      </c>
      <c r="G89" s="3">
        <v>45014</v>
      </c>
      <c r="H89" s="4" t="s">
        <v>115</v>
      </c>
      <c r="I89" s="4" t="s">
        <v>16</v>
      </c>
      <c r="J89" s="4">
        <v>56</v>
      </c>
      <c r="K89" s="4" t="str" cm="1">
        <f t="array" ref="K89">_xlfn.IFS(J89&lt;30, "Young Adult", J89&lt;50, "Adult", J89&gt;=50, "Senior")</f>
        <v>Senior</v>
      </c>
      <c r="L89" s="4" t="s">
        <v>21</v>
      </c>
      <c r="M89" s="4">
        <v>1</v>
      </c>
      <c r="N89" s="5">
        <v>500</v>
      </c>
      <c r="O89">
        <f>M89*N89</f>
        <v>500</v>
      </c>
      <c r="P89" s="14">
        <f>O89*$S$3</f>
        <v>7.5</v>
      </c>
    </row>
    <row r="90" spans="1:16">
      <c r="A90" s="2">
        <v>89</v>
      </c>
      <c r="B90" s="4">
        <f>YEAR(G90)</f>
        <v>2023</v>
      </c>
      <c r="C90" s="4">
        <f>MONTH(G90)</f>
        <v>10</v>
      </c>
      <c r="D90" s="4">
        <f>DAY(G90)</f>
        <v>1</v>
      </c>
      <c r="E90" s="4" t="str">
        <f>TEXT(G90, "mmmm")</f>
        <v>October</v>
      </c>
      <c r="F90" s="4" t="str">
        <f>TEXT(G90, "dddd")</f>
        <v>Sunday</v>
      </c>
      <c r="G90" s="3">
        <v>45200</v>
      </c>
      <c r="H90" s="4" t="s">
        <v>116</v>
      </c>
      <c r="I90" s="4" t="s">
        <v>20</v>
      </c>
      <c r="J90" s="4">
        <v>55</v>
      </c>
      <c r="K90" s="4" t="str" cm="1">
        <f t="array" ref="K90">_xlfn.IFS(J90&lt;30, "Young Adult", J90&lt;50, "Adult", J90&gt;=50, "Senior")</f>
        <v>Senior</v>
      </c>
      <c r="L90" s="4" t="s">
        <v>24</v>
      </c>
      <c r="M90" s="4">
        <v>4</v>
      </c>
      <c r="N90" s="5">
        <v>500</v>
      </c>
      <c r="O90">
        <f>M90*N90</f>
        <v>2000</v>
      </c>
      <c r="P90" s="14">
        <f>O90*$S$3</f>
        <v>30</v>
      </c>
    </row>
    <row r="91" spans="1:16">
      <c r="A91" s="2">
        <v>90</v>
      </c>
      <c r="B91" s="4">
        <f>YEAR(G91)</f>
        <v>2023</v>
      </c>
      <c r="C91" s="4">
        <f>MONTH(G91)</f>
        <v>5</v>
      </c>
      <c r="D91" s="4">
        <f>DAY(G91)</f>
        <v>6</v>
      </c>
      <c r="E91" s="4" t="str">
        <f>TEXT(G91, "mmmm")</f>
        <v>May</v>
      </c>
      <c r="F91" s="4" t="str">
        <f>TEXT(G91, "dddd")</f>
        <v>Saturday</v>
      </c>
      <c r="G91" s="3">
        <v>45052</v>
      </c>
      <c r="H91" s="4" t="s">
        <v>117</v>
      </c>
      <c r="I91" s="4" t="s">
        <v>20</v>
      </c>
      <c r="J91" s="4">
        <v>51</v>
      </c>
      <c r="K91" s="4" t="str" cm="1">
        <f t="array" ref="K91">_xlfn.IFS(J91&lt;30, "Young Adult", J91&lt;50, "Adult", J91&gt;=50, "Senior")</f>
        <v>Senior</v>
      </c>
      <c r="L91" s="4" t="s">
        <v>24</v>
      </c>
      <c r="M91" s="4">
        <v>1</v>
      </c>
      <c r="N91" s="5">
        <v>30</v>
      </c>
      <c r="O91">
        <f>M91*N91</f>
        <v>30</v>
      </c>
      <c r="P91" s="14">
        <f>O91*$S$3</f>
        <v>0.44999999999999996</v>
      </c>
    </row>
    <row r="92" spans="1:16">
      <c r="A92" s="2">
        <v>91</v>
      </c>
      <c r="B92" s="4">
        <f>YEAR(G92)</f>
        <v>2023</v>
      </c>
      <c r="C92" s="4">
        <f>MONTH(G92)</f>
        <v>3</v>
      </c>
      <c r="D92" s="4">
        <f>DAY(G92)</f>
        <v>25</v>
      </c>
      <c r="E92" s="4" t="str">
        <f>TEXT(G92, "mmmm")</f>
        <v>March</v>
      </c>
      <c r="F92" s="4" t="str">
        <f>TEXT(G92, "dddd")</f>
        <v>Saturday</v>
      </c>
      <c r="G92" s="3">
        <v>45010</v>
      </c>
      <c r="H92" s="4" t="s">
        <v>118</v>
      </c>
      <c r="I92" s="4" t="s">
        <v>20</v>
      </c>
      <c r="J92" s="4">
        <v>55</v>
      </c>
      <c r="K92" s="4" t="str" cm="1">
        <f t="array" ref="K92">_xlfn.IFS(J92&lt;30, "Young Adult", J92&lt;50, "Adult", J92&gt;=50, "Senior")</f>
        <v>Senior</v>
      </c>
      <c r="L92" s="4" t="s">
        <v>24</v>
      </c>
      <c r="M92" s="4">
        <v>1</v>
      </c>
      <c r="N92" s="5">
        <v>500</v>
      </c>
      <c r="O92">
        <f>M92*N92</f>
        <v>500</v>
      </c>
      <c r="P92" s="14">
        <f>O92*$S$3</f>
        <v>7.5</v>
      </c>
    </row>
    <row r="93" spans="1:16">
      <c r="A93" s="2">
        <v>92</v>
      </c>
      <c r="B93" s="4">
        <f>YEAR(G93)</f>
        <v>2023</v>
      </c>
      <c r="C93" s="4">
        <f>MONTH(G93)</f>
        <v>8</v>
      </c>
      <c r="D93" s="4">
        <f>DAY(G93)</f>
        <v>25</v>
      </c>
      <c r="E93" s="4" t="str">
        <f>TEXT(G93, "mmmm")</f>
        <v>August</v>
      </c>
      <c r="F93" s="4" t="str">
        <f>TEXT(G93, "dddd")</f>
        <v>Friday</v>
      </c>
      <c r="G93" s="3">
        <v>45163</v>
      </c>
      <c r="H93" s="4" t="s">
        <v>119</v>
      </c>
      <c r="I93" s="4" t="s">
        <v>20</v>
      </c>
      <c r="J93" s="4">
        <v>51</v>
      </c>
      <c r="K93" s="4" t="str" cm="1">
        <f t="array" ref="K93">_xlfn.IFS(J93&lt;30, "Young Adult", J93&lt;50, "Adult", J93&gt;=50, "Senior")</f>
        <v>Senior</v>
      </c>
      <c r="L93" s="4" t="s">
        <v>24</v>
      </c>
      <c r="M93" s="4">
        <v>4</v>
      </c>
      <c r="N93" s="5">
        <v>30</v>
      </c>
      <c r="O93">
        <f>M93*N93</f>
        <v>120</v>
      </c>
      <c r="P93" s="14">
        <f>O93*$S$3</f>
        <v>1.7999999999999998</v>
      </c>
    </row>
    <row r="94" spans="1:16">
      <c r="A94" s="2">
        <v>93</v>
      </c>
      <c r="B94" s="4">
        <f>YEAR(G94)</f>
        <v>2023</v>
      </c>
      <c r="C94" s="4">
        <f>MONTH(G94)</f>
        <v>7</v>
      </c>
      <c r="D94" s="4">
        <f>DAY(G94)</f>
        <v>14</v>
      </c>
      <c r="E94" s="4" t="str">
        <f>TEXT(G94, "mmmm")</f>
        <v>July</v>
      </c>
      <c r="F94" s="4" t="str">
        <f>TEXT(G94, "dddd")</f>
        <v>Friday</v>
      </c>
      <c r="G94" s="3">
        <v>45121</v>
      </c>
      <c r="H94" s="4" t="s">
        <v>120</v>
      </c>
      <c r="I94" s="4" t="s">
        <v>20</v>
      </c>
      <c r="J94" s="4">
        <v>35</v>
      </c>
      <c r="K94" s="4" t="str" cm="1">
        <f t="array" ref="K94">_xlfn.IFS(J94&lt;30, "Young Adult", J94&lt;50, "Adult", J94&gt;=50, "Senior")</f>
        <v>Adult</v>
      </c>
      <c r="L94" s="4" t="s">
        <v>17</v>
      </c>
      <c r="M94" s="4">
        <v>4</v>
      </c>
      <c r="N94" s="5">
        <v>500</v>
      </c>
      <c r="O94">
        <f>M94*N94</f>
        <v>2000</v>
      </c>
      <c r="P94" s="14">
        <f>O94*$S$3</f>
        <v>30</v>
      </c>
    </row>
    <row r="95" spans="1:16">
      <c r="A95" s="2">
        <v>94</v>
      </c>
      <c r="B95" s="4">
        <f>YEAR(G95)</f>
        <v>2023</v>
      </c>
      <c r="C95" s="4">
        <f>MONTH(G95)</f>
        <v>5</v>
      </c>
      <c r="D95" s="4">
        <f>DAY(G95)</f>
        <v>19</v>
      </c>
      <c r="E95" s="4" t="str">
        <f>TEXT(G95, "mmmm")</f>
        <v>May</v>
      </c>
      <c r="F95" s="4" t="str">
        <f>TEXT(G95, "dddd")</f>
        <v>Friday</v>
      </c>
      <c r="G95" s="3">
        <v>45065</v>
      </c>
      <c r="H95" s="4" t="s">
        <v>121</v>
      </c>
      <c r="I95" s="4" t="s">
        <v>20</v>
      </c>
      <c r="J95" s="4">
        <v>47</v>
      </c>
      <c r="K95" s="4" t="str" cm="1">
        <f t="array" ref="K95">_xlfn.IFS(J95&lt;30, "Young Adult", J95&lt;50, "Adult", J95&gt;=50, "Senior")</f>
        <v>Adult</v>
      </c>
      <c r="L95" s="4" t="s">
        <v>17</v>
      </c>
      <c r="M95" s="4">
        <v>2</v>
      </c>
      <c r="N95" s="5">
        <v>500</v>
      </c>
      <c r="O95">
        <f>M95*N95</f>
        <v>1000</v>
      </c>
      <c r="P95" s="14">
        <f>O95*$S$3</f>
        <v>15</v>
      </c>
    </row>
    <row r="96" spans="1:16">
      <c r="A96" s="2">
        <v>95</v>
      </c>
      <c r="B96" s="4">
        <f>YEAR(G96)</f>
        <v>2023</v>
      </c>
      <c r="C96" s="4">
        <f>MONTH(G96)</f>
        <v>11</v>
      </c>
      <c r="D96" s="4">
        <f>DAY(G96)</f>
        <v>24</v>
      </c>
      <c r="E96" s="4" t="str">
        <f>TEXT(G96, "mmmm")</f>
        <v>November</v>
      </c>
      <c r="F96" s="4" t="str">
        <f>TEXT(G96, "dddd")</f>
        <v>Friday</v>
      </c>
      <c r="G96" s="3">
        <v>45254</v>
      </c>
      <c r="H96" s="4" t="s">
        <v>122</v>
      </c>
      <c r="I96" s="4" t="s">
        <v>20</v>
      </c>
      <c r="J96" s="4">
        <v>32</v>
      </c>
      <c r="K96" s="4" t="str" cm="1">
        <f t="array" ref="K96">_xlfn.IFS(J96&lt;30, "Young Adult", J96&lt;50, "Adult", J96&gt;=50, "Senior")</f>
        <v>Adult</v>
      </c>
      <c r="L96" s="4" t="s">
        <v>21</v>
      </c>
      <c r="M96" s="4">
        <v>2</v>
      </c>
      <c r="N96" s="5">
        <v>30</v>
      </c>
      <c r="O96">
        <f>M96*N96</f>
        <v>60</v>
      </c>
      <c r="P96" s="14">
        <f>O96*$S$3</f>
        <v>0.89999999999999991</v>
      </c>
    </row>
    <row r="97" spans="1:16">
      <c r="A97" s="2">
        <v>96</v>
      </c>
      <c r="B97" s="4">
        <f>YEAR(G97)</f>
        <v>2023</v>
      </c>
      <c r="C97" s="4">
        <f>MONTH(G97)</f>
        <v>12</v>
      </c>
      <c r="D97" s="4">
        <f>DAY(G97)</f>
        <v>19</v>
      </c>
      <c r="E97" s="4" t="str">
        <f>TEXT(G97, "mmmm")</f>
        <v>December</v>
      </c>
      <c r="F97" s="4" t="str">
        <f>TEXT(G97, "dddd")</f>
        <v>Tuesday</v>
      </c>
      <c r="G97" s="3">
        <v>45279</v>
      </c>
      <c r="H97" s="4" t="s">
        <v>123</v>
      </c>
      <c r="I97" s="4" t="s">
        <v>20</v>
      </c>
      <c r="J97" s="4">
        <v>44</v>
      </c>
      <c r="K97" s="4" t="str" cm="1">
        <f t="array" ref="K97">_xlfn.IFS(J97&lt;30, "Young Adult", J97&lt;50, "Adult", J97&gt;=50, "Senior")</f>
        <v>Adult</v>
      </c>
      <c r="L97" s="4" t="s">
        <v>21</v>
      </c>
      <c r="M97" s="4">
        <v>2</v>
      </c>
      <c r="N97" s="5">
        <v>300</v>
      </c>
      <c r="O97">
        <f>M97*N97</f>
        <v>600</v>
      </c>
      <c r="P97" s="14">
        <f>O97*$S$3</f>
        <v>9</v>
      </c>
    </row>
    <row r="98" spans="1:16">
      <c r="A98" s="2">
        <v>97</v>
      </c>
      <c r="B98" s="4">
        <f>YEAR(G98)</f>
        <v>2023</v>
      </c>
      <c r="C98" s="4">
        <f>MONTH(G98)</f>
        <v>10</v>
      </c>
      <c r="D98" s="4">
        <f>DAY(G98)</f>
        <v>13</v>
      </c>
      <c r="E98" s="4" t="str">
        <f>TEXT(G98, "mmmm")</f>
        <v>October</v>
      </c>
      <c r="F98" s="4" t="str">
        <f>TEXT(G98, "dddd")</f>
        <v>Friday</v>
      </c>
      <c r="G98" s="3">
        <v>45212</v>
      </c>
      <c r="H98" s="4" t="s">
        <v>124</v>
      </c>
      <c r="I98" s="4" t="s">
        <v>20</v>
      </c>
      <c r="J98" s="4">
        <v>51</v>
      </c>
      <c r="K98" s="4" t="str" cm="1">
        <f t="array" ref="K98">_xlfn.IFS(J98&lt;30, "Young Adult", J98&lt;50, "Adult", J98&gt;=50, "Senior")</f>
        <v>Senior</v>
      </c>
      <c r="L98" s="4" t="s">
        <v>17</v>
      </c>
      <c r="M98" s="4">
        <v>2</v>
      </c>
      <c r="N98" s="5">
        <v>500</v>
      </c>
      <c r="O98">
        <f>M98*N98</f>
        <v>1000</v>
      </c>
      <c r="P98" s="14">
        <f>O98*$S$3</f>
        <v>15</v>
      </c>
    </row>
    <row r="99" spans="1:16">
      <c r="A99" s="2">
        <v>98</v>
      </c>
      <c r="B99" s="4">
        <f>YEAR(G99)</f>
        <v>2023</v>
      </c>
      <c r="C99" s="4">
        <f>MONTH(G99)</f>
        <v>4</v>
      </c>
      <c r="D99" s="4">
        <f>DAY(G99)</f>
        <v>23</v>
      </c>
      <c r="E99" s="4" t="str">
        <f>TEXT(G99, "mmmm")</f>
        <v>April</v>
      </c>
      <c r="F99" s="4" t="str">
        <f>TEXT(G99, "dddd")</f>
        <v>Sunday</v>
      </c>
      <c r="G99" s="3">
        <v>45039</v>
      </c>
      <c r="H99" s="4" t="s">
        <v>125</v>
      </c>
      <c r="I99" s="4" t="s">
        <v>20</v>
      </c>
      <c r="J99" s="4">
        <v>55</v>
      </c>
      <c r="K99" s="4" t="str" cm="1">
        <f t="array" ref="K99">_xlfn.IFS(J99&lt;30, "Young Adult", J99&lt;50, "Adult", J99&gt;=50, "Senior")</f>
        <v>Senior</v>
      </c>
      <c r="L99" s="4" t="s">
        <v>17</v>
      </c>
      <c r="M99" s="4">
        <v>2</v>
      </c>
      <c r="N99" s="5">
        <v>50</v>
      </c>
      <c r="O99">
        <f>M99*N99</f>
        <v>100</v>
      </c>
      <c r="P99" s="14">
        <f>O99*$S$3</f>
        <v>1.5</v>
      </c>
    </row>
    <row r="100" spans="1:16">
      <c r="A100" s="2">
        <v>99</v>
      </c>
      <c r="B100" s="4">
        <f>YEAR(G100)</f>
        <v>2023</v>
      </c>
      <c r="C100" s="4">
        <f>MONTH(G100)</f>
        <v>12</v>
      </c>
      <c r="D100" s="4">
        <f>DAY(G100)</f>
        <v>17</v>
      </c>
      <c r="E100" s="4" t="str">
        <f>TEXT(G100, "mmmm")</f>
        <v>December</v>
      </c>
      <c r="F100" s="4" t="str">
        <f>TEXT(G100, "dddd")</f>
        <v>Sunday</v>
      </c>
      <c r="G100" s="3">
        <v>45277</v>
      </c>
      <c r="H100" s="4" t="s">
        <v>126</v>
      </c>
      <c r="I100" s="4" t="s">
        <v>20</v>
      </c>
      <c r="J100" s="4">
        <v>50</v>
      </c>
      <c r="K100" s="4" t="str" cm="1">
        <f t="array" ref="K100">_xlfn.IFS(J100&lt;30, "Young Adult", J100&lt;50, "Adult", J100&gt;=50, "Senior")</f>
        <v>Senior</v>
      </c>
      <c r="L100" s="4" t="s">
        <v>24</v>
      </c>
      <c r="M100" s="4">
        <v>4</v>
      </c>
      <c r="N100" s="5">
        <v>300</v>
      </c>
      <c r="O100">
        <f>M100*N100</f>
        <v>1200</v>
      </c>
      <c r="P100" s="14">
        <f>O100*$S$3</f>
        <v>18</v>
      </c>
    </row>
    <row r="101" spans="1:16">
      <c r="A101" s="2">
        <v>100</v>
      </c>
      <c r="B101" s="4">
        <f>YEAR(G101)</f>
        <v>2023</v>
      </c>
      <c r="C101" s="4">
        <f>MONTH(G101)</f>
        <v>6</v>
      </c>
      <c r="D101" s="4">
        <f>DAY(G101)</f>
        <v>16</v>
      </c>
      <c r="E101" s="4" t="str">
        <f>TEXT(G101, "mmmm")</f>
        <v>June</v>
      </c>
      <c r="F101" s="4" t="str">
        <f>TEXT(G101, "dddd")</f>
        <v>Friday</v>
      </c>
      <c r="G101" s="3">
        <v>45093</v>
      </c>
      <c r="H101" s="4" t="s">
        <v>127</v>
      </c>
      <c r="I101" s="4" t="s">
        <v>16</v>
      </c>
      <c r="J101" s="4">
        <v>41</v>
      </c>
      <c r="K101" s="4" t="str" cm="1">
        <f t="array" ref="K101">_xlfn.IFS(J101&lt;30, "Young Adult", J101&lt;50, "Adult", J101&gt;=50, "Senior")</f>
        <v>Adult</v>
      </c>
      <c r="L101" s="4" t="s">
        <v>24</v>
      </c>
      <c r="M101" s="4">
        <v>1</v>
      </c>
      <c r="N101" s="5">
        <v>30</v>
      </c>
      <c r="O101">
        <f>M101*N101</f>
        <v>30</v>
      </c>
      <c r="P101" s="14">
        <f>O101*$S$3</f>
        <v>0.44999999999999996</v>
      </c>
    </row>
    <row r="102" spans="1:16">
      <c r="A102" s="2">
        <v>101</v>
      </c>
      <c r="B102" s="4">
        <f>YEAR(G102)</f>
        <v>2023</v>
      </c>
      <c r="C102" s="4">
        <f>MONTH(G102)</f>
        <v>1</v>
      </c>
      <c r="D102" s="4">
        <f>DAY(G102)</f>
        <v>29</v>
      </c>
      <c r="E102" s="4" t="str">
        <f>TEXT(G102, "mmmm")</f>
        <v>January</v>
      </c>
      <c r="F102" s="4" t="str">
        <f>TEXT(G102, "dddd")</f>
        <v>Sunday</v>
      </c>
      <c r="G102" s="3">
        <v>44955</v>
      </c>
      <c r="H102" s="4" t="s">
        <v>128</v>
      </c>
      <c r="I102" s="4" t="s">
        <v>16</v>
      </c>
      <c r="J102" s="4">
        <v>32</v>
      </c>
      <c r="K102" s="4" t="str" cm="1">
        <f t="array" ref="K102">_xlfn.IFS(J102&lt;30, "Young Adult", J102&lt;50, "Adult", J102&gt;=50, "Senior")</f>
        <v>Adult</v>
      </c>
      <c r="L102" s="4" t="s">
        <v>21</v>
      </c>
      <c r="M102" s="4">
        <v>2</v>
      </c>
      <c r="N102" s="5">
        <v>300</v>
      </c>
      <c r="O102">
        <f>M102*N102</f>
        <v>600</v>
      </c>
      <c r="P102" s="14">
        <f>O102*$S$3</f>
        <v>9</v>
      </c>
    </row>
    <row r="103" spans="1:16">
      <c r="A103" s="2">
        <v>102</v>
      </c>
      <c r="B103" s="4">
        <f>YEAR(G103)</f>
        <v>2023</v>
      </c>
      <c r="C103" s="4">
        <f>MONTH(G103)</f>
        <v>4</v>
      </c>
      <c r="D103" s="4">
        <f>DAY(G103)</f>
        <v>28</v>
      </c>
      <c r="E103" s="4" t="str">
        <f>TEXT(G103, "mmmm")</f>
        <v>April</v>
      </c>
      <c r="F103" s="4" t="str">
        <f>TEXT(G103, "dddd")</f>
        <v>Friday</v>
      </c>
      <c r="G103" s="3">
        <v>45044</v>
      </c>
      <c r="H103" s="4" t="s">
        <v>129</v>
      </c>
      <c r="I103" s="4" t="s">
        <v>20</v>
      </c>
      <c r="J103" s="4">
        <v>47</v>
      </c>
      <c r="K103" s="4" t="str" cm="1">
        <f t="array" ref="K103">_xlfn.IFS(J103&lt;30, "Young Adult", J103&lt;50, "Adult", J103&gt;=50, "Senior")</f>
        <v>Adult</v>
      </c>
      <c r="L103" s="4" t="s">
        <v>17</v>
      </c>
      <c r="M103" s="4">
        <v>2</v>
      </c>
      <c r="N103" s="5">
        <v>25</v>
      </c>
      <c r="O103">
        <f>M103*N103</f>
        <v>50</v>
      </c>
      <c r="P103" s="14">
        <f>O103*$S$3</f>
        <v>0.75</v>
      </c>
    </row>
    <row r="104" spans="1:16">
      <c r="A104" s="2">
        <v>103</v>
      </c>
      <c r="B104" s="4">
        <f>YEAR(G104)</f>
        <v>2023</v>
      </c>
      <c r="C104" s="4">
        <f>MONTH(G104)</f>
        <v>1</v>
      </c>
      <c r="D104" s="4">
        <f>DAY(G104)</f>
        <v>17</v>
      </c>
      <c r="E104" s="4" t="str">
        <f>TEXT(G104, "mmmm")</f>
        <v>January</v>
      </c>
      <c r="F104" s="4" t="str">
        <f>TEXT(G104, "dddd")</f>
        <v>Tuesday</v>
      </c>
      <c r="G104" s="3">
        <v>44943</v>
      </c>
      <c r="H104" s="4" t="s">
        <v>130</v>
      </c>
      <c r="I104" s="4" t="s">
        <v>20</v>
      </c>
      <c r="J104" s="4">
        <v>59</v>
      </c>
      <c r="K104" s="4" t="str" cm="1">
        <f t="array" ref="K104">_xlfn.IFS(J104&lt;30, "Young Adult", J104&lt;50, "Adult", J104&gt;=50, "Senior")</f>
        <v>Senior</v>
      </c>
      <c r="L104" s="4" t="s">
        <v>21</v>
      </c>
      <c r="M104" s="4">
        <v>1</v>
      </c>
      <c r="N104" s="5">
        <v>25</v>
      </c>
      <c r="O104">
        <f>M104*N104</f>
        <v>25</v>
      </c>
      <c r="P104" s="14">
        <f>O104*$S$3</f>
        <v>0.375</v>
      </c>
    </row>
    <row r="105" spans="1:16">
      <c r="A105" s="2">
        <v>104</v>
      </c>
      <c r="B105" s="4">
        <f>YEAR(G105)</f>
        <v>2023</v>
      </c>
      <c r="C105" s="4">
        <f>MONTH(G105)</f>
        <v>6</v>
      </c>
      <c r="D105" s="4">
        <f>DAY(G105)</f>
        <v>11</v>
      </c>
      <c r="E105" s="4" t="str">
        <f>TEXT(G105, "mmmm")</f>
        <v>June</v>
      </c>
      <c r="F105" s="4" t="str">
        <f>TEXT(G105, "dddd")</f>
        <v>Sunday</v>
      </c>
      <c r="G105" s="3">
        <v>45088</v>
      </c>
      <c r="H105" s="4" t="s">
        <v>131</v>
      </c>
      <c r="I105" s="4" t="s">
        <v>20</v>
      </c>
      <c r="J105" s="4">
        <v>34</v>
      </c>
      <c r="K105" s="4" t="str" cm="1">
        <f t="array" ref="K105">_xlfn.IFS(J105&lt;30, "Young Adult", J105&lt;50, "Adult", J105&gt;=50, "Senior")</f>
        <v>Adult</v>
      </c>
      <c r="L105" s="4" t="s">
        <v>17</v>
      </c>
      <c r="M105" s="4">
        <v>2</v>
      </c>
      <c r="N105" s="5">
        <v>500</v>
      </c>
      <c r="O105">
        <f>M105*N105</f>
        <v>1000</v>
      </c>
      <c r="P105" s="14">
        <f>O105*$S$3</f>
        <v>15</v>
      </c>
    </row>
    <row r="106" spans="1:16">
      <c r="A106" s="2">
        <v>105</v>
      </c>
      <c r="B106" s="4">
        <f>YEAR(G106)</f>
        <v>2023</v>
      </c>
      <c r="C106" s="4">
        <f>MONTH(G106)</f>
        <v>7</v>
      </c>
      <c r="D106" s="4">
        <f>DAY(G106)</f>
        <v>25</v>
      </c>
      <c r="E106" s="4" t="str">
        <f>TEXT(G106, "mmmm")</f>
        <v>July</v>
      </c>
      <c r="F106" s="4" t="str">
        <f>TEXT(G106, "dddd")</f>
        <v>Tuesday</v>
      </c>
      <c r="G106" s="3">
        <v>45132</v>
      </c>
      <c r="H106" s="4" t="s">
        <v>132</v>
      </c>
      <c r="I106" s="4" t="s">
        <v>20</v>
      </c>
      <c r="J106" s="4">
        <v>22</v>
      </c>
      <c r="K106" s="4" t="str" cm="1">
        <f t="array" ref="K106">_xlfn.IFS(J106&lt;30, "Young Adult", J106&lt;50, "Adult", J106&gt;=50, "Senior")</f>
        <v>Young Adult</v>
      </c>
      <c r="L106" s="4" t="s">
        <v>24</v>
      </c>
      <c r="M106" s="4">
        <v>1</v>
      </c>
      <c r="N106" s="5">
        <v>500</v>
      </c>
      <c r="O106">
        <f>M106*N106</f>
        <v>500</v>
      </c>
      <c r="P106" s="14">
        <f>O106*$S$3</f>
        <v>7.5</v>
      </c>
    </row>
    <row r="107" spans="1:16">
      <c r="A107" s="2">
        <v>106</v>
      </c>
      <c r="B107" s="4">
        <f>YEAR(G107)</f>
        <v>2023</v>
      </c>
      <c r="C107" s="4">
        <f>MONTH(G107)</f>
        <v>5</v>
      </c>
      <c r="D107" s="4">
        <f>DAY(G107)</f>
        <v>18</v>
      </c>
      <c r="E107" s="4" t="str">
        <f>TEXT(G107, "mmmm")</f>
        <v>May</v>
      </c>
      <c r="F107" s="4" t="str">
        <f>TEXT(G107, "dddd")</f>
        <v>Thursday</v>
      </c>
      <c r="G107" s="3">
        <v>45064</v>
      </c>
      <c r="H107" s="4" t="s">
        <v>133</v>
      </c>
      <c r="I107" s="4" t="s">
        <v>20</v>
      </c>
      <c r="J107" s="4">
        <v>46</v>
      </c>
      <c r="K107" s="4" t="str" cm="1">
        <f t="array" ref="K107">_xlfn.IFS(J107&lt;30, "Young Adult", J107&lt;50, "Adult", J107&gt;=50, "Senior")</f>
        <v>Adult</v>
      </c>
      <c r="L107" s="4" t="s">
        <v>21</v>
      </c>
      <c r="M107" s="4">
        <v>1</v>
      </c>
      <c r="N107" s="5">
        <v>50</v>
      </c>
      <c r="O107">
        <f>M107*N107</f>
        <v>50</v>
      </c>
      <c r="P107" s="14">
        <f>O107*$S$3</f>
        <v>0.75</v>
      </c>
    </row>
    <row r="108" spans="1:16">
      <c r="A108" s="2">
        <v>107</v>
      </c>
      <c r="B108" s="4">
        <f>YEAR(G108)</f>
        <v>2023</v>
      </c>
      <c r="C108" s="4">
        <f>MONTH(G108)</f>
        <v>2</v>
      </c>
      <c r="D108" s="4">
        <f>DAY(G108)</f>
        <v>3</v>
      </c>
      <c r="E108" s="4" t="str">
        <f>TEXT(G108, "mmmm")</f>
        <v>February</v>
      </c>
      <c r="F108" s="4" t="str">
        <f>TEXT(G108, "dddd")</f>
        <v>Friday</v>
      </c>
      <c r="G108" s="3">
        <v>44960</v>
      </c>
      <c r="H108" s="4" t="s">
        <v>134</v>
      </c>
      <c r="I108" s="4" t="s">
        <v>20</v>
      </c>
      <c r="J108" s="4">
        <v>21</v>
      </c>
      <c r="K108" s="4" t="str" cm="1">
        <f t="array" ref="K108">_xlfn.IFS(J108&lt;30, "Young Adult", J108&lt;50, "Adult", J108&gt;=50, "Senior")</f>
        <v>Young Adult</v>
      </c>
      <c r="L108" s="4" t="s">
        <v>21</v>
      </c>
      <c r="M108" s="4">
        <v>4</v>
      </c>
      <c r="N108" s="5">
        <v>300</v>
      </c>
      <c r="O108">
        <f>M108*N108</f>
        <v>1200</v>
      </c>
      <c r="P108" s="14">
        <f>O108*$S$3</f>
        <v>18</v>
      </c>
    </row>
    <row r="109" spans="1:16">
      <c r="A109" s="2">
        <v>108</v>
      </c>
      <c r="B109" s="4">
        <f>YEAR(G109)</f>
        <v>2023</v>
      </c>
      <c r="C109" s="4">
        <f>MONTH(G109)</f>
        <v>4</v>
      </c>
      <c r="D109" s="4">
        <f>DAY(G109)</f>
        <v>19</v>
      </c>
      <c r="E109" s="4" t="str">
        <f>TEXT(G109, "mmmm")</f>
        <v>April</v>
      </c>
      <c r="F109" s="4" t="str">
        <f>TEXT(G109, "dddd")</f>
        <v>Wednesday</v>
      </c>
      <c r="G109" s="3">
        <v>45035</v>
      </c>
      <c r="H109" s="4" t="s">
        <v>135</v>
      </c>
      <c r="I109" s="4" t="s">
        <v>20</v>
      </c>
      <c r="J109" s="4">
        <v>27</v>
      </c>
      <c r="K109" s="4" t="str" cm="1">
        <f t="array" ref="K109">_xlfn.IFS(J109&lt;30, "Young Adult", J109&lt;50, "Adult", J109&gt;=50, "Senior")</f>
        <v>Young Adult</v>
      </c>
      <c r="L109" s="4" t="s">
        <v>17</v>
      </c>
      <c r="M109" s="4">
        <v>3</v>
      </c>
      <c r="N109" s="5">
        <v>25</v>
      </c>
      <c r="O109">
        <f>M109*N109</f>
        <v>75</v>
      </c>
      <c r="P109" s="14">
        <f>O109*$S$3</f>
        <v>1.125</v>
      </c>
    </row>
    <row r="110" spans="1:16">
      <c r="A110" s="2">
        <v>109</v>
      </c>
      <c r="B110" s="4">
        <f>YEAR(G110)</f>
        <v>2023</v>
      </c>
      <c r="C110" s="4">
        <f>MONTH(G110)</f>
        <v>10</v>
      </c>
      <c r="D110" s="4">
        <f>DAY(G110)</f>
        <v>18</v>
      </c>
      <c r="E110" s="4" t="str">
        <f>TEXT(G110, "mmmm")</f>
        <v>October</v>
      </c>
      <c r="F110" s="4" t="str">
        <f>TEXT(G110, "dddd")</f>
        <v>Wednesday</v>
      </c>
      <c r="G110" s="3">
        <v>45217</v>
      </c>
      <c r="H110" s="4" t="s">
        <v>136</v>
      </c>
      <c r="I110" s="4" t="s">
        <v>20</v>
      </c>
      <c r="J110" s="4">
        <v>34</v>
      </c>
      <c r="K110" s="4" t="str" cm="1">
        <f t="array" ref="K110">_xlfn.IFS(J110&lt;30, "Young Adult", J110&lt;50, "Adult", J110&gt;=50, "Senior")</f>
        <v>Adult</v>
      </c>
      <c r="L110" s="4" t="s">
        <v>24</v>
      </c>
      <c r="M110" s="4">
        <v>4</v>
      </c>
      <c r="N110" s="5">
        <v>500</v>
      </c>
      <c r="O110">
        <f>M110*N110</f>
        <v>2000</v>
      </c>
      <c r="P110" s="14">
        <f>O110*$S$3</f>
        <v>30</v>
      </c>
    </row>
    <row r="111" spans="1:16">
      <c r="A111" s="2">
        <v>110</v>
      </c>
      <c r="B111" s="4">
        <f>YEAR(G111)</f>
        <v>2023</v>
      </c>
      <c r="C111" s="4">
        <f>MONTH(G111)</f>
        <v>6</v>
      </c>
      <c r="D111" s="4">
        <f>DAY(G111)</f>
        <v>11</v>
      </c>
      <c r="E111" s="4" t="str">
        <f>TEXT(G111, "mmmm")</f>
        <v>June</v>
      </c>
      <c r="F111" s="4" t="str">
        <f>TEXT(G111, "dddd")</f>
        <v>Sunday</v>
      </c>
      <c r="G111" s="3">
        <v>45088</v>
      </c>
      <c r="H111" s="4" t="s">
        <v>137</v>
      </c>
      <c r="I111" s="4" t="s">
        <v>16</v>
      </c>
      <c r="J111" s="4">
        <v>27</v>
      </c>
      <c r="K111" s="4" t="str" cm="1">
        <f t="array" ref="K111">_xlfn.IFS(J111&lt;30, "Young Adult", J111&lt;50, "Adult", J111&gt;=50, "Senior")</f>
        <v>Young Adult</v>
      </c>
      <c r="L111" s="4" t="s">
        <v>21</v>
      </c>
      <c r="M111" s="4">
        <v>3</v>
      </c>
      <c r="N111" s="5">
        <v>300</v>
      </c>
      <c r="O111">
        <f>M111*N111</f>
        <v>900</v>
      </c>
      <c r="P111" s="14">
        <f>O111*$S$3</f>
        <v>13.5</v>
      </c>
    </row>
    <row r="112" spans="1:16">
      <c r="A112" s="2">
        <v>111</v>
      </c>
      <c r="B112" s="4">
        <f>YEAR(G112)</f>
        <v>2023</v>
      </c>
      <c r="C112" s="4">
        <f>MONTH(G112)</f>
        <v>4</v>
      </c>
      <c r="D112" s="4">
        <f>DAY(G112)</f>
        <v>19</v>
      </c>
      <c r="E112" s="4" t="str">
        <f>TEXT(G112, "mmmm")</f>
        <v>April</v>
      </c>
      <c r="F112" s="4" t="str">
        <f>TEXT(G112, "dddd")</f>
        <v>Wednesday</v>
      </c>
      <c r="G112" s="3">
        <v>45035</v>
      </c>
      <c r="H112" s="4" t="s">
        <v>138</v>
      </c>
      <c r="I112" s="4" t="s">
        <v>20</v>
      </c>
      <c r="J112" s="4">
        <v>34</v>
      </c>
      <c r="K112" s="4" t="str" cm="1">
        <f t="array" ref="K112">_xlfn.IFS(J112&lt;30, "Young Adult", J112&lt;50, "Adult", J112&gt;=50, "Senior")</f>
        <v>Adult</v>
      </c>
      <c r="L112" s="4" t="s">
        <v>24</v>
      </c>
      <c r="M112" s="4">
        <v>3</v>
      </c>
      <c r="N112" s="5">
        <v>500</v>
      </c>
      <c r="O112">
        <f>M112*N112</f>
        <v>1500</v>
      </c>
      <c r="P112" s="14">
        <f>O112*$S$3</f>
        <v>22.5</v>
      </c>
    </row>
    <row r="113" spans="1:16">
      <c r="A113" s="2">
        <v>112</v>
      </c>
      <c r="B113" s="4">
        <f>YEAR(G113)</f>
        <v>2023</v>
      </c>
      <c r="C113" s="4">
        <f>MONTH(G113)</f>
        <v>12</v>
      </c>
      <c r="D113" s="4">
        <f>DAY(G113)</f>
        <v>2</v>
      </c>
      <c r="E113" s="4" t="str">
        <f>TEXT(G113, "mmmm")</f>
        <v>December</v>
      </c>
      <c r="F113" s="4" t="str">
        <f>TEXT(G113, "dddd")</f>
        <v>Saturday</v>
      </c>
      <c r="G113" s="3">
        <v>45262</v>
      </c>
      <c r="H113" s="4" t="s">
        <v>139</v>
      </c>
      <c r="I113" s="4" t="s">
        <v>16</v>
      </c>
      <c r="J113" s="4">
        <v>37</v>
      </c>
      <c r="K113" s="4" t="str" cm="1">
        <f t="array" ref="K113">_xlfn.IFS(J113&lt;30, "Young Adult", J113&lt;50, "Adult", J113&gt;=50, "Senior")</f>
        <v>Adult</v>
      </c>
      <c r="L113" s="4" t="s">
        <v>21</v>
      </c>
      <c r="M113" s="4">
        <v>3</v>
      </c>
      <c r="N113" s="5">
        <v>500</v>
      </c>
      <c r="O113">
        <f>M113*N113</f>
        <v>1500</v>
      </c>
      <c r="P113" s="14">
        <f>O113*$S$3</f>
        <v>22.5</v>
      </c>
    </row>
    <row r="114" spans="1:16">
      <c r="A114" s="2">
        <v>113</v>
      </c>
      <c r="B114" s="4">
        <f>YEAR(G114)</f>
        <v>2023</v>
      </c>
      <c r="C114" s="4">
        <f>MONTH(G114)</f>
        <v>9</v>
      </c>
      <c r="D114" s="4">
        <f>DAY(G114)</f>
        <v>13</v>
      </c>
      <c r="E114" s="4" t="str">
        <f>TEXT(G114, "mmmm")</f>
        <v>September</v>
      </c>
      <c r="F114" s="4" t="str">
        <f>TEXT(G114, "dddd")</f>
        <v>Wednesday</v>
      </c>
      <c r="G114" s="3">
        <v>45182</v>
      </c>
      <c r="H114" s="4" t="s">
        <v>140</v>
      </c>
      <c r="I114" s="4" t="s">
        <v>20</v>
      </c>
      <c r="J114" s="4">
        <v>41</v>
      </c>
      <c r="K114" s="4" t="str" cm="1">
        <f t="array" ref="K114">_xlfn.IFS(J114&lt;30, "Young Adult", J114&lt;50, "Adult", J114&gt;=50, "Senior")</f>
        <v>Adult</v>
      </c>
      <c r="L114" s="4" t="s">
        <v>24</v>
      </c>
      <c r="M114" s="4">
        <v>2</v>
      </c>
      <c r="N114" s="5">
        <v>25</v>
      </c>
      <c r="O114">
        <f>M114*N114</f>
        <v>50</v>
      </c>
      <c r="P114" s="14">
        <f>O114*$S$3</f>
        <v>0.75</v>
      </c>
    </row>
    <row r="115" spans="1:16">
      <c r="A115" s="2">
        <v>114</v>
      </c>
      <c r="B115" s="4">
        <f>YEAR(G115)</f>
        <v>2023</v>
      </c>
      <c r="C115" s="4">
        <f>MONTH(G115)</f>
        <v>7</v>
      </c>
      <c r="D115" s="4">
        <f>DAY(G115)</f>
        <v>22</v>
      </c>
      <c r="E115" s="4" t="str">
        <f>TEXT(G115, "mmmm")</f>
        <v>July</v>
      </c>
      <c r="F115" s="4" t="str">
        <f>TEXT(G115, "dddd")</f>
        <v>Saturday</v>
      </c>
      <c r="G115" s="3">
        <v>45129</v>
      </c>
      <c r="H115" s="4" t="s">
        <v>141</v>
      </c>
      <c r="I115" s="4" t="s">
        <v>20</v>
      </c>
      <c r="J115" s="4">
        <v>22</v>
      </c>
      <c r="K115" s="4" t="str" cm="1">
        <f t="array" ref="K115">_xlfn.IFS(J115&lt;30, "Young Adult", J115&lt;50, "Adult", J115&gt;=50, "Senior")</f>
        <v>Young Adult</v>
      </c>
      <c r="L115" s="4" t="s">
        <v>17</v>
      </c>
      <c r="M115" s="4">
        <v>4</v>
      </c>
      <c r="N115" s="5">
        <v>25</v>
      </c>
      <c r="O115">
        <f>M115*N115</f>
        <v>100</v>
      </c>
      <c r="P115" s="14">
        <f>O115*$S$3</f>
        <v>1.5</v>
      </c>
    </row>
    <row r="116" spans="1:16">
      <c r="A116" s="2">
        <v>115</v>
      </c>
      <c r="B116" s="4">
        <f>YEAR(G116)</f>
        <v>2023</v>
      </c>
      <c r="C116" s="4">
        <f>MONTH(G116)</f>
        <v>11</v>
      </c>
      <c r="D116" s="4">
        <f>DAY(G116)</f>
        <v>26</v>
      </c>
      <c r="E116" s="4" t="str">
        <f>TEXT(G116, "mmmm")</f>
        <v>November</v>
      </c>
      <c r="F116" s="4" t="str">
        <f>TEXT(G116, "dddd")</f>
        <v>Sunday</v>
      </c>
      <c r="G116" s="3">
        <v>45256</v>
      </c>
      <c r="H116" s="4" t="s">
        <v>142</v>
      </c>
      <c r="I116" s="4" t="s">
        <v>16</v>
      </c>
      <c r="J116" s="4">
        <v>51</v>
      </c>
      <c r="K116" s="4" t="str" cm="1">
        <f t="array" ref="K116">_xlfn.IFS(J116&lt;30, "Young Adult", J116&lt;50, "Adult", J116&gt;=50, "Senior")</f>
        <v>Senior</v>
      </c>
      <c r="L116" s="4" t="s">
        <v>21</v>
      </c>
      <c r="M116" s="4">
        <v>3</v>
      </c>
      <c r="N116" s="5">
        <v>500</v>
      </c>
      <c r="O116">
        <f>M116*N116</f>
        <v>1500</v>
      </c>
      <c r="P116" s="14">
        <f>O116*$S$3</f>
        <v>22.5</v>
      </c>
    </row>
    <row r="117" spans="1:16">
      <c r="A117" s="2">
        <v>116</v>
      </c>
      <c r="B117" s="4">
        <f>YEAR(G117)</f>
        <v>2023</v>
      </c>
      <c r="C117" s="4">
        <f>MONTH(G117)</f>
        <v>8</v>
      </c>
      <c r="D117" s="4">
        <f>DAY(G117)</f>
        <v>23</v>
      </c>
      <c r="E117" s="4" t="str">
        <f>TEXT(G117, "mmmm")</f>
        <v>August</v>
      </c>
      <c r="F117" s="4" t="str">
        <f>TEXT(G117, "dddd")</f>
        <v>Wednesday</v>
      </c>
      <c r="G117" s="3">
        <v>45161</v>
      </c>
      <c r="H117" s="4" t="s">
        <v>143</v>
      </c>
      <c r="I117" s="4" t="s">
        <v>20</v>
      </c>
      <c r="J117" s="4">
        <v>23</v>
      </c>
      <c r="K117" s="4" t="str" cm="1">
        <f t="array" ref="K117">_xlfn.IFS(J117&lt;30, "Young Adult", J117&lt;50, "Adult", J117&gt;=50, "Senior")</f>
        <v>Young Adult</v>
      </c>
      <c r="L117" s="4" t="s">
        <v>21</v>
      </c>
      <c r="M117" s="4">
        <v>1</v>
      </c>
      <c r="N117" s="5">
        <v>30</v>
      </c>
      <c r="O117">
        <f>M117*N117</f>
        <v>30</v>
      </c>
      <c r="P117" s="14">
        <f>O117*$S$3</f>
        <v>0.44999999999999996</v>
      </c>
    </row>
    <row r="118" spans="1:16">
      <c r="A118" s="2">
        <v>117</v>
      </c>
      <c r="B118" s="4">
        <f>YEAR(G118)</f>
        <v>2023</v>
      </c>
      <c r="C118" s="4">
        <f>MONTH(G118)</f>
        <v>3</v>
      </c>
      <c r="D118" s="4">
        <f>DAY(G118)</f>
        <v>15</v>
      </c>
      <c r="E118" s="4" t="str">
        <f>TEXT(G118, "mmmm")</f>
        <v>March</v>
      </c>
      <c r="F118" s="4" t="str">
        <f>TEXT(G118, "dddd")</f>
        <v>Wednesday</v>
      </c>
      <c r="G118" s="3">
        <v>45000</v>
      </c>
      <c r="H118" s="4" t="s">
        <v>144</v>
      </c>
      <c r="I118" s="4" t="s">
        <v>16</v>
      </c>
      <c r="J118" s="4">
        <v>19</v>
      </c>
      <c r="K118" s="4" t="str" cm="1">
        <f t="array" ref="K118">_xlfn.IFS(J118&lt;30, "Young Adult", J118&lt;50, "Adult", J118&gt;=50, "Senior")</f>
        <v>Young Adult</v>
      </c>
      <c r="L118" s="4" t="s">
        <v>24</v>
      </c>
      <c r="M118" s="4">
        <v>2</v>
      </c>
      <c r="N118" s="5">
        <v>500</v>
      </c>
      <c r="O118">
        <f>M118*N118</f>
        <v>1000</v>
      </c>
      <c r="P118" s="14">
        <f>O118*$S$3</f>
        <v>15</v>
      </c>
    </row>
    <row r="119" spans="1:16">
      <c r="A119" s="2">
        <v>118</v>
      </c>
      <c r="B119" s="4">
        <f>YEAR(G119)</f>
        <v>2023</v>
      </c>
      <c r="C119" s="4">
        <f>MONTH(G119)</f>
        <v>5</v>
      </c>
      <c r="D119" s="4">
        <f>DAY(G119)</f>
        <v>16</v>
      </c>
      <c r="E119" s="4" t="str">
        <f>TEXT(G119, "mmmm")</f>
        <v>May</v>
      </c>
      <c r="F119" s="4" t="str">
        <f>TEXT(G119, "dddd")</f>
        <v>Tuesday</v>
      </c>
      <c r="G119" s="3">
        <v>45062</v>
      </c>
      <c r="H119" s="4" t="s">
        <v>145</v>
      </c>
      <c r="I119" s="4" t="s">
        <v>20</v>
      </c>
      <c r="J119" s="4">
        <v>30</v>
      </c>
      <c r="K119" s="4" t="str" cm="1">
        <f t="array" ref="K119">_xlfn.IFS(J119&lt;30, "Young Adult", J119&lt;50, "Adult", J119&gt;=50, "Senior")</f>
        <v>Adult</v>
      </c>
      <c r="L119" s="4" t="s">
        <v>24</v>
      </c>
      <c r="M119" s="4">
        <v>4</v>
      </c>
      <c r="N119" s="5">
        <v>500</v>
      </c>
      <c r="O119">
        <f>M119*N119</f>
        <v>2000</v>
      </c>
      <c r="P119" s="14">
        <f>O119*$S$3</f>
        <v>30</v>
      </c>
    </row>
    <row r="120" spans="1:16">
      <c r="A120" s="2">
        <v>119</v>
      </c>
      <c r="B120" s="4">
        <f>YEAR(G120)</f>
        <v>2023</v>
      </c>
      <c r="C120" s="4">
        <f>MONTH(G120)</f>
        <v>3</v>
      </c>
      <c r="D120" s="4">
        <f>DAY(G120)</f>
        <v>13</v>
      </c>
      <c r="E120" s="4" t="str">
        <f>TEXT(G120, "mmmm")</f>
        <v>March</v>
      </c>
      <c r="F120" s="4" t="str">
        <f>TEXT(G120, "dddd")</f>
        <v>Monday</v>
      </c>
      <c r="G120" s="3">
        <v>44998</v>
      </c>
      <c r="H120" s="4" t="s">
        <v>146</v>
      </c>
      <c r="I120" s="4" t="s">
        <v>20</v>
      </c>
      <c r="J120" s="4">
        <v>60</v>
      </c>
      <c r="K120" s="4" t="str" cm="1">
        <f t="array" ref="K120">_xlfn.IFS(J120&lt;30, "Young Adult", J120&lt;50, "Adult", J120&gt;=50, "Senior")</f>
        <v>Senior</v>
      </c>
      <c r="L120" s="4" t="s">
        <v>21</v>
      </c>
      <c r="M120" s="4">
        <v>3</v>
      </c>
      <c r="N120" s="5">
        <v>50</v>
      </c>
      <c r="O120">
        <f>M120*N120</f>
        <v>150</v>
      </c>
      <c r="P120" s="14">
        <f>O120*$S$3</f>
        <v>2.25</v>
      </c>
    </row>
    <row r="121" spans="1:16">
      <c r="A121" s="2">
        <v>120</v>
      </c>
      <c r="B121" s="4">
        <f>YEAR(G121)</f>
        <v>2023</v>
      </c>
      <c r="C121" s="4">
        <f>MONTH(G121)</f>
        <v>5</v>
      </c>
      <c r="D121" s="4">
        <f>DAY(G121)</f>
        <v>7</v>
      </c>
      <c r="E121" s="4" t="str">
        <f>TEXT(G121, "mmmm")</f>
        <v>May</v>
      </c>
      <c r="F121" s="4" t="str">
        <f>TEXT(G121, "dddd")</f>
        <v>Sunday</v>
      </c>
      <c r="G121" s="3">
        <v>45053</v>
      </c>
      <c r="H121" s="4" t="s">
        <v>147</v>
      </c>
      <c r="I121" s="4" t="s">
        <v>16</v>
      </c>
      <c r="J121" s="4">
        <v>60</v>
      </c>
      <c r="K121" s="4" t="str" cm="1">
        <f t="array" ref="K121">_xlfn.IFS(J121&lt;30, "Young Adult", J121&lt;50, "Adult", J121&gt;=50, "Senior")</f>
        <v>Senior</v>
      </c>
      <c r="L121" s="4" t="s">
        <v>17</v>
      </c>
      <c r="M121" s="4">
        <v>1</v>
      </c>
      <c r="N121" s="5">
        <v>50</v>
      </c>
      <c r="O121">
        <f>M121*N121</f>
        <v>50</v>
      </c>
      <c r="P121" s="14">
        <f>O121*$S$3</f>
        <v>0.75</v>
      </c>
    </row>
    <row r="122" spans="1:16">
      <c r="A122" s="2">
        <v>121</v>
      </c>
      <c r="B122" s="4">
        <f>YEAR(G122)</f>
        <v>2023</v>
      </c>
      <c r="C122" s="4">
        <f>MONTH(G122)</f>
        <v>10</v>
      </c>
      <c r="D122" s="4">
        <f>DAY(G122)</f>
        <v>15</v>
      </c>
      <c r="E122" s="4" t="str">
        <f>TEXT(G122, "mmmm")</f>
        <v>October</v>
      </c>
      <c r="F122" s="4" t="str">
        <f>TEXT(G122, "dddd")</f>
        <v>Sunday</v>
      </c>
      <c r="G122" s="3">
        <v>45214</v>
      </c>
      <c r="H122" s="4" t="s">
        <v>148</v>
      </c>
      <c r="I122" s="4" t="s">
        <v>20</v>
      </c>
      <c r="J122" s="4">
        <v>28</v>
      </c>
      <c r="K122" s="4" t="str" cm="1">
        <f t="array" ref="K122">_xlfn.IFS(J122&lt;30, "Young Adult", J122&lt;50, "Adult", J122&gt;=50, "Senior")</f>
        <v>Young Adult</v>
      </c>
      <c r="L122" s="4" t="s">
        <v>24</v>
      </c>
      <c r="M122" s="4">
        <v>4</v>
      </c>
      <c r="N122" s="5">
        <v>50</v>
      </c>
      <c r="O122">
        <f>M122*N122</f>
        <v>200</v>
      </c>
      <c r="P122" s="14">
        <f>O122*$S$3</f>
        <v>3</v>
      </c>
    </row>
    <row r="123" spans="1:16">
      <c r="A123" s="2">
        <v>122</v>
      </c>
      <c r="B123" s="4">
        <f>YEAR(G123)</f>
        <v>2023</v>
      </c>
      <c r="C123" s="4">
        <f>MONTH(G123)</f>
        <v>10</v>
      </c>
      <c r="D123" s="4">
        <f>DAY(G123)</f>
        <v>3</v>
      </c>
      <c r="E123" s="4" t="str">
        <f>TEXT(G123, "mmmm")</f>
        <v>October</v>
      </c>
      <c r="F123" s="4" t="str">
        <f>TEXT(G123, "dddd")</f>
        <v>Tuesday</v>
      </c>
      <c r="G123" s="3">
        <v>45202</v>
      </c>
      <c r="H123" s="4" t="s">
        <v>149</v>
      </c>
      <c r="I123" s="4" t="s">
        <v>16</v>
      </c>
      <c r="J123" s="4">
        <v>64</v>
      </c>
      <c r="K123" s="4" t="str" cm="1">
        <f t="array" ref="K123">_xlfn.IFS(J123&lt;30, "Young Adult", J123&lt;50, "Adult", J123&gt;=50, "Senior")</f>
        <v>Senior</v>
      </c>
      <c r="L123" s="4" t="s">
        <v>24</v>
      </c>
      <c r="M123" s="4">
        <v>4</v>
      </c>
      <c r="N123" s="5">
        <v>30</v>
      </c>
      <c r="O123">
        <f>M123*N123</f>
        <v>120</v>
      </c>
      <c r="P123" s="14">
        <f>O123*$S$3</f>
        <v>1.7999999999999998</v>
      </c>
    </row>
    <row r="124" spans="1:16">
      <c r="A124" s="2">
        <v>123</v>
      </c>
      <c r="B124" s="4">
        <f>YEAR(G124)</f>
        <v>2023</v>
      </c>
      <c r="C124" s="4">
        <f>MONTH(G124)</f>
        <v>5</v>
      </c>
      <c r="D124" s="4">
        <f>DAY(G124)</f>
        <v>15</v>
      </c>
      <c r="E124" s="4" t="str">
        <f>TEXT(G124, "mmmm")</f>
        <v>May</v>
      </c>
      <c r="F124" s="4" t="str">
        <f>TEXT(G124, "dddd")</f>
        <v>Monday</v>
      </c>
      <c r="G124" s="3">
        <v>45061</v>
      </c>
      <c r="H124" s="4" t="s">
        <v>150</v>
      </c>
      <c r="I124" s="4" t="s">
        <v>20</v>
      </c>
      <c r="J124" s="4">
        <v>40</v>
      </c>
      <c r="K124" s="4" t="str" cm="1">
        <f t="array" ref="K124">_xlfn.IFS(J124&lt;30, "Young Adult", J124&lt;50, "Adult", J124&gt;=50, "Senior")</f>
        <v>Adult</v>
      </c>
      <c r="L124" s="4" t="s">
        <v>24</v>
      </c>
      <c r="M124" s="4">
        <v>2</v>
      </c>
      <c r="N124" s="5">
        <v>30</v>
      </c>
      <c r="O124">
        <f>M124*N124</f>
        <v>60</v>
      </c>
      <c r="P124" s="14">
        <f>O124*$S$3</f>
        <v>0.89999999999999991</v>
      </c>
    </row>
    <row r="125" spans="1:16">
      <c r="A125" s="2">
        <v>124</v>
      </c>
      <c r="B125" s="4">
        <f>YEAR(G125)</f>
        <v>2023</v>
      </c>
      <c r="C125" s="4">
        <f>MONTH(G125)</f>
        <v>10</v>
      </c>
      <c r="D125" s="4">
        <f>DAY(G125)</f>
        <v>27</v>
      </c>
      <c r="E125" s="4" t="str">
        <f>TEXT(G125, "mmmm")</f>
        <v>October</v>
      </c>
      <c r="F125" s="4" t="str">
        <f>TEXT(G125, "dddd")</f>
        <v>Friday</v>
      </c>
      <c r="G125" s="3">
        <v>45226</v>
      </c>
      <c r="H125" s="4" t="s">
        <v>151</v>
      </c>
      <c r="I125" s="4" t="s">
        <v>16</v>
      </c>
      <c r="J125" s="4">
        <v>33</v>
      </c>
      <c r="K125" s="4" t="str" cm="1">
        <f t="array" ref="K125">_xlfn.IFS(J125&lt;30, "Young Adult", J125&lt;50, "Adult", J125&gt;=50, "Senior")</f>
        <v>Adult</v>
      </c>
      <c r="L125" s="4" t="s">
        <v>21</v>
      </c>
      <c r="M125" s="4">
        <v>4</v>
      </c>
      <c r="N125" s="5">
        <v>500</v>
      </c>
      <c r="O125">
        <f>M125*N125</f>
        <v>2000</v>
      </c>
      <c r="P125" s="14">
        <f>O125*$S$3</f>
        <v>30</v>
      </c>
    </row>
    <row r="126" spans="1:16">
      <c r="A126" s="2">
        <v>125</v>
      </c>
      <c r="B126" s="4">
        <f>YEAR(G126)</f>
        <v>2023</v>
      </c>
      <c r="C126" s="4">
        <f>MONTH(G126)</f>
        <v>8</v>
      </c>
      <c r="D126" s="4">
        <f>DAY(G126)</f>
        <v>8</v>
      </c>
      <c r="E126" s="4" t="str">
        <f>TEXT(G126, "mmmm")</f>
        <v>August</v>
      </c>
      <c r="F126" s="4" t="str">
        <f>TEXT(G126, "dddd")</f>
        <v>Tuesday</v>
      </c>
      <c r="G126" s="3">
        <v>45146</v>
      </c>
      <c r="H126" s="4" t="s">
        <v>152</v>
      </c>
      <c r="I126" s="4" t="s">
        <v>16</v>
      </c>
      <c r="J126" s="4">
        <v>48</v>
      </c>
      <c r="K126" s="4" t="str" cm="1">
        <f t="array" ref="K126">_xlfn.IFS(J126&lt;30, "Young Adult", J126&lt;50, "Adult", J126&gt;=50, "Senior")</f>
        <v>Adult</v>
      </c>
      <c r="L126" s="4" t="s">
        <v>21</v>
      </c>
      <c r="M126" s="4">
        <v>2</v>
      </c>
      <c r="N126" s="5">
        <v>50</v>
      </c>
      <c r="O126">
        <f>M126*N126</f>
        <v>100</v>
      </c>
      <c r="P126" s="14">
        <f>O126*$S$3</f>
        <v>1.5</v>
      </c>
    </row>
    <row r="127" spans="1:16">
      <c r="A127" s="2">
        <v>126</v>
      </c>
      <c r="B127" s="4">
        <f>YEAR(G127)</f>
        <v>2023</v>
      </c>
      <c r="C127" s="4">
        <f>MONTH(G127)</f>
        <v>10</v>
      </c>
      <c r="D127" s="4">
        <f>DAY(G127)</f>
        <v>26</v>
      </c>
      <c r="E127" s="4" t="str">
        <f>TEXT(G127, "mmmm")</f>
        <v>October</v>
      </c>
      <c r="F127" s="4" t="str">
        <f>TEXT(G127, "dddd")</f>
        <v>Thursday</v>
      </c>
      <c r="G127" s="3">
        <v>45225</v>
      </c>
      <c r="H127" s="4" t="s">
        <v>153</v>
      </c>
      <c r="I127" s="4" t="s">
        <v>20</v>
      </c>
      <c r="J127" s="4">
        <v>28</v>
      </c>
      <c r="K127" s="4" t="str" cm="1">
        <f t="array" ref="K127">_xlfn.IFS(J127&lt;30, "Young Adult", J127&lt;50, "Adult", J127&gt;=50, "Senior")</f>
        <v>Young Adult</v>
      </c>
      <c r="L127" s="4" t="s">
        <v>21</v>
      </c>
      <c r="M127" s="4">
        <v>3</v>
      </c>
      <c r="N127" s="5">
        <v>30</v>
      </c>
      <c r="O127">
        <f>M127*N127</f>
        <v>90</v>
      </c>
      <c r="P127" s="14">
        <f>O127*$S$3</f>
        <v>1.3499999999999999</v>
      </c>
    </row>
    <row r="128" spans="1:16">
      <c r="A128" s="2">
        <v>127</v>
      </c>
      <c r="B128" s="4">
        <f>YEAR(G128)</f>
        <v>2023</v>
      </c>
      <c r="C128" s="4">
        <f>MONTH(G128)</f>
        <v>7</v>
      </c>
      <c r="D128" s="4">
        <f>DAY(G128)</f>
        <v>24</v>
      </c>
      <c r="E128" s="4" t="str">
        <f>TEXT(G128, "mmmm")</f>
        <v>July</v>
      </c>
      <c r="F128" s="4" t="str">
        <f>TEXT(G128, "dddd")</f>
        <v>Monday</v>
      </c>
      <c r="G128" s="3">
        <v>45131</v>
      </c>
      <c r="H128" s="4" t="s">
        <v>154</v>
      </c>
      <c r="I128" s="4" t="s">
        <v>20</v>
      </c>
      <c r="J128" s="4">
        <v>33</v>
      </c>
      <c r="K128" s="4" t="str" cm="1">
        <f t="array" ref="K128">_xlfn.IFS(J128&lt;30, "Young Adult", J128&lt;50, "Adult", J128&gt;=50, "Senior")</f>
        <v>Adult</v>
      </c>
      <c r="L128" s="4" t="s">
        <v>21</v>
      </c>
      <c r="M128" s="4">
        <v>2</v>
      </c>
      <c r="N128" s="5">
        <v>25</v>
      </c>
      <c r="O128">
        <f>M128*N128</f>
        <v>50</v>
      </c>
      <c r="P128" s="14">
        <f>O128*$S$3</f>
        <v>0.75</v>
      </c>
    </row>
    <row r="129" spans="1:16">
      <c r="A129" s="2">
        <v>128</v>
      </c>
      <c r="B129" s="4">
        <f>YEAR(G129)</f>
        <v>2023</v>
      </c>
      <c r="C129" s="4">
        <f>MONTH(G129)</f>
        <v>7</v>
      </c>
      <c r="D129" s="4">
        <f>DAY(G129)</f>
        <v>5</v>
      </c>
      <c r="E129" s="4" t="str">
        <f>TEXT(G129, "mmmm")</f>
        <v>July</v>
      </c>
      <c r="F129" s="4" t="str">
        <f>TEXT(G129, "dddd")</f>
        <v>Wednesday</v>
      </c>
      <c r="G129" s="3">
        <v>45112</v>
      </c>
      <c r="H129" s="4" t="s">
        <v>155</v>
      </c>
      <c r="I129" s="4" t="s">
        <v>16</v>
      </c>
      <c r="J129" s="4">
        <v>25</v>
      </c>
      <c r="K129" s="4" t="str" cm="1">
        <f t="array" ref="K129">_xlfn.IFS(J129&lt;30, "Young Adult", J129&lt;50, "Adult", J129&gt;=50, "Senior")</f>
        <v>Young Adult</v>
      </c>
      <c r="L129" s="4" t="s">
        <v>17</v>
      </c>
      <c r="M129" s="4">
        <v>1</v>
      </c>
      <c r="N129" s="5">
        <v>500</v>
      </c>
      <c r="O129">
        <f>M129*N129</f>
        <v>500</v>
      </c>
      <c r="P129" s="14">
        <f>O129*$S$3</f>
        <v>7.5</v>
      </c>
    </row>
    <row r="130" spans="1:16">
      <c r="A130" s="2">
        <v>129</v>
      </c>
      <c r="B130" s="4">
        <f>YEAR(G130)</f>
        <v>2023</v>
      </c>
      <c r="C130" s="4">
        <f>MONTH(G130)</f>
        <v>4</v>
      </c>
      <c r="D130" s="4">
        <f>DAY(G130)</f>
        <v>23</v>
      </c>
      <c r="E130" s="4" t="str">
        <f>TEXT(G130, "mmmm")</f>
        <v>April</v>
      </c>
      <c r="F130" s="4" t="str">
        <f>TEXT(G130, "dddd")</f>
        <v>Sunday</v>
      </c>
      <c r="G130" s="3">
        <v>45039</v>
      </c>
      <c r="H130" s="4" t="s">
        <v>156</v>
      </c>
      <c r="I130" s="4" t="s">
        <v>20</v>
      </c>
      <c r="J130" s="4">
        <v>21</v>
      </c>
      <c r="K130" s="4" t="str" cm="1">
        <f t="array" ref="K130">_xlfn.IFS(J130&lt;30, "Young Adult", J130&lt;50, "Adult", J130&gt;=50, "Senior")</f>
        <v>Young Adult</v>
      </c>
      <c r="L130" s="4" t="s">
        <v>17</v>
      </c>
      <c r="M130" s="4">
        <v>2</v>
      </c>
      <c r="N130" s="5">
        <v>300</v>
      </c>
      <c r="O130">
        <f>M130*N130</f>
        <v>600</v>
      </c>
      <c r="P130" s="14">
        <f>O130*$S$3</f>
        <v>9</v>
      </c>
    </row>
    <row r="131" spans="1:16">
      <c r="A131" s="2">
        <v>130</v>
      </c>
      <c r="B131" s="4">
        <f>YEAR(G131)</f>
        <v>2023</v>
      </c>
      <c r="C131" s="4">
        <f>MONTH(G131)</f>
        <v>3</v>
      </c>
      <c r="D131" s="4">
        <f>DAY(G131)</f>
        <v>12</v>
      </c>
      <c r="E131" s="4" t="str">
        <f>TEXT(G131, "mmmm")</f>
        <v>March</v>
      </c>
      <c r="F131" s="4" t="str">
        <f>TEXT(G131, "dddd")</f>
        <v>Sunday</v>
      </c>
      <c r="G131" s="3">
        <v>44997</v>
      </c>
      <c r="H131" s="4" t="s">
        <v>157</v>
      </c>
      <c r="I131" s="4" t="s">
        <v>20</v>
      </c>
      <c r="J131" s="4">
        <v>57</v>
      </c>
      <c r="K131" s="4" t="str" cm="1">
        <f t="array" ref="K131">_xlfn.IFS(J131&lt;30, "Young Adult", J131&lt;50, "Adult", J131&gt;=50, "Senior")</f>
        <v>Senior</v>
      </c>
      <c r="L131" s="4" t="s">
        <v>21</v>
      </c>
      <c r="M131" s="4">
        <v>1</v>
      </c>
      <c r="N131" s="5">
        <v>500</v>
      </c>
      <c r="O131">
        <f>M131*N131</f>
        <v>500</v>
      </c>
      <c r="P131" s="14">
        <f>O131*$S$3</f>
        <v>7.5</v>
      </c>
    </row>
    <row r="132" spans="1:16">
      <c r="A132" s="2">
        <v>131</v>
      </c>
      <c r="B132" s="4">
        <f>YEAR(G132)</f>
        <v>2023</v>
      </c>
      <c r="C132" s="4">
        <f>MONTH(G132)</f>
        <v>9</v>
      </c>
      <c r="D132" s="4">
        <f>DAY(G132)</f>
        <v>18</v>
      </c>
      <c r="E132" s="4" t="str">
        <f>TEXT(G132, "mmmm")</f>
        <v>September</v>
      </c>
      <c r="F132" s="4" t="str">
        <f>TEXT(G132, "dddd")</f>
        <v>Monday</v>
      </c>
      <c r="G132" s="3">
        <v>45187</v>
      </c>
      <c r="H132" s="4" t="s">
        <v>158</v>
      </c>
      <c r="I132" s="4" t="s">
        <v>20</v>
      </c>
      <c r="J132" s="4">
        <v>21</v>
      </c>
      <c r="K132" s="4" t="str" cm="1">
        <f t="array" ref="K132">_xlfn.IFS(J132&lt;30, "Young Adult", J132&lt;50, "Adult", J132&gt;=50, "Senior")</f>
        <v>Young Adult</v>
      </c>
      <c r="L132" s="4" t="s">
        <v>17</v>
      </c>
      <c r="M132" s="4">
        <v>2</v>
      </c>
      <c r="N132" s="5">
        <v>300</v>
      </c>
      <c r="O132">
        <f>M132*N132</f>
        <v>600</v>
      </c>
      <c r="P132" s="14">
        <f>O132*$S$3</f>
        <v>9</v>
      </c>
    </row>
    <row r="133" spans="1:16">
      <c r="A133" s="2">
        <v>132</v>
      </c>
      <c r="B133" s="4">
        <f>YEAR(G133)</f>
        <v>2023</v>
      </c>
      <c r="C133" s="4">
        <f>MONTH(G133)</f>
        <v>9</v>
      </c>
      <c r="D133" s="4">
        <f>DAY(G133)</f>
        <v>10</v>
      </c>
      <c r="E133" s="4" t="str">
        <f>TEXT(G133, "mmmm")</f>
        <v>September</v>
      </c>
      <c r="F133" s="4" t="str">
        <f>TEXT(G133, "dddd")</f>
        <v>Sunday</v>
      </c>
      <c r="G133" s="3">
        <v>45179</v>
      </c>
      <c r="H133" s="4" t="s">
        <v>159</v>
      </c>
      <c r="I133" s="4" t="s">
        <v>16</v>
      </c>
      <c r="J133" s="4">
        <v>42</v>
      </c>
      <c r="K133" s="4" t="str" cm="1">
        <f t="array" ref="K133">_xlfn.IFS(J133&lt;30, "Young Adult", J133&lt;50, "Adult", J133&gt;=50, "Senior")</f>
        <v>Adult</v>
      </c>
      <c r="L133" s="4" t="s">
        <v>24</v>
      </c>
      <c r="M133" s="4">
        <v>4</v>
      </c>
      <c r="N133" s="5">
        <v>50</v>
      </c>
      <c r="O133">
        <f>M133*N133</f>
        <v>200</v>
      </c>
      <c r="P133" s="14">
        <f>O133*$S$3</f>
        <v>3</v>
      </c>
    </row>
    <row r="134" spans="1:16">
      <c r="A134" s="2">
        <v>133</v>
      </c>
      <c r="B134" s="4">
        <f>YEAR(G134)</f>
        <v>2023</v>
      </c>
      <c r="C134" s="4">
        <f>MONTH(G134)</f>
        <v>2</v>
      </c>
      <c r="D134" s="4">
        <f>DAY(G134)</f>
        <v>16</v>
      </c>
      <c r="E134" s="4" t="str">
        <f>TEXT(G134, "mmmm")</f>
        <v>February</v>
      </c>
      <c r="F134" s="4" t="str">
        <f>TEXT(G134, "dddd")</f>
        <v>Thursday</v>
      </c>
      <c r="G134" s="3">
        <v>44973</v>
      </c>
      <c r="H134" s="4" t="s">
        <v>160</v>
      </c>
      <c r="I134" s="4" t="s">
        <v>16</v>
      </c>
      <c r="J134" s="4">
        <v>20</v>
      </c>
      <c r="K134" s="4" t="str" cm="1">
        <f t="array" ref="K134">_xlfn.IFS(J134&lt;30, "Young Adult", J134&lt;50, "Adult", J134&gt;=50, "Senior")</f>
        <v>Young Adult</v>
      </c>
      <c r="L134" s="4" t="s">
        <v>24</v>
      </c>
      <c r="M134" s="4">
        <v>3</v>
      </c>
      <c r="N134" s="5">
        <v>300</v>
      </c>
      <c r="O134">
        <f>M134*N134</f>
        <v>900</v>
      </c>
      <c r="P134" s="14">
        <f>O134*$S$3</f>
        <v>13.5</v>
      </c>
    </row>
    <row r="135" spans="1:16">
      <c r="A135" s="2">
        <v>134</v>
      </c>
      <c r="B135" s="4">
        <f>YEAR(G135)</f>
        <v>2023</v>
      </c>
      <c r="C135" s="4">
        <f>MONTH(G135)</f>
        <v>1</v>
      </c>
      <c r="D135" s="4">
        <f>DAY(G135)</f>
        <v>25</v>
      </c>
      <c r="E135" s="4" t="str">
        <f>TEXT(G135, "mmmm")</f>
        <v>January</v>
      </c>
      <c r="F135" s="4" t="str">
        <f>TEXT(G135, "dddd")</f>
        <v>Wednesday</v>
      </c>
      <c r="G135" s="3">
        <v>44951</v>
      </c>
      <c r="H135" s="4" t="s">
        <v>161</v>
      </c>
      <c r="I135" s="4" t="s">
        <v>16</v>
      </c>
      <c r="J135" s="4">
        <v>49</v>
      </c>
      <c r="K135" s="4" t="str" cm="1">
        <f t="array" ref="K135">_xlfn.IFS(J135&lt;30, "Young Adult", J135&lt;50, "Adult", J135&gt;=50, "Senior")</f>
        <v>Adult</v>
      </c>
      <c r="L135" s="4" t="s">
        <v>24</v>
      </c>
      <c r="M135" s="4">
        <v>1</v>
      </c>
      <c r="N135" s="5">
        <v>50</v>
      </c>
      <c r="O135">
        <f>M135*N135</f>
        <v>50</v>
      </c>
      <c r="P135" s="14">
        <f>O135*$S$3</f>
        <v>0.75</v>
      </c>
    </row>
    <row r="136" spans="1:16">
      <c r="A136" s="2">
        <v>135</v>
      </c>
      <c r="B136" s="4">
        <f>YEAR(G136)</f>
        <v>2023</v>
      </c>
      <c r="C136" s="4">
        <f>MONTH(G136)</f>
        <v>2</v>
      </c>
      <c r="D136" s="4">
        <f>DAY(G136)</f>
        <v>26</v>
      </c>
      <c r="E136" s="4" t="str">
        <f>TEXT(G136, "mmmm")</f>
        <v>February</v>
      </c>
      <c r="F136" s="4" t="str">
        <f>TEXT(G136, "dddd")</f>
        <v>Sunday</v>
      </c>
      <c r="G136" s="3">
        <v>44983</v>
      </c>
      <c r="H136" s="4" t="s">
        <v>162</v>
      </c>
      <c r="I136" s="4" t="s">
        <v>16</v>
      </c>
      <c r="J136" s="4">
        <v>20</v>
      </c>
      <c r="K136" s="4" t="str" cm="1">
        <f t="array" ref="K136">_xlfn.IFS(J136&lt;30, "Young Adult", J136&lt;50, "Adult", J136&gt;=50, "Senior")</f>
        <v>Young Adult</v>
      </c>
      <c r="L136" s="4" t="s">
        <v>21</v>
      </c>
      <c r="M136" s="4">
        <v>2</v>
      </c>
      <c r="N136" s="5">
        <v>25</v>
      </c>
      <c r="O136">
        <f>M136*N136</f>
        <v>50</v>
      </c>
      <c r="P136" s="14">
        <f>O136*$S$3</f>
        <v>0.75</v>
      </c>
    </row>
    <row r="137" spans="1:16">
      <c r="A137" s="2">
        <v>136</v>
      </c>
      <c r="B137" s="4">
        <f>YEAR(G137)</f>
        <v>2023</v>
      </c>
      <c r="C137" s="4">
        <f>MONTH(G137)</f>
        <v>3</v>
      </c>
      <c r="D137" s="4">
        <f>DAY(G137)</f>
        <v>20</v>
      </c>
      <c r="E137" s="4" t="str">
        <f>TEXT(G137, "mmmm")</f>
        <v>March</v>
      </c>
      <c r="F137" s="4" t="str">
        <f>TEXT(G137, "dddd")</f>
        <v>Monday</v>
      </c>
      <c r="G137" s="3">
        <v>45005</v>
      </c>
      <c r="H137" s="4" t="s">
        <v>163</v>
      </c>
      <c r="I137" s="4" t="s">
        <v>16</v>
      </c>
      <c r="J137" s="4">
        <v>44</v>
      </c>
      <c r="K137" s="4" t="str" cm="1">
        <f t="array" ref="K137">_xlfn.IFS(J137&lt;30, "Young Adult", J137&lt;50, "Adult", J137&gt;=50, "Senior")</f>
        <v>Adult</v>
      </c>
      <c r="L137" s="4" t="s">
        <v>24</v>
      </c>
      <c r="M137" s="4">
        <v>2</v>
      </c>
      <c r="N137" s="5">
        <v>300</v>
      </c>
      <c r="O137">
        <f>M137*N137</f>
        <v>600</v>
      </c>
      <c r="P137" s="14">
        <f>O137*$S$3</f>
        <v>9</v>
      </c>
    </row>
    <row r="138" spans="1:16">
      <c r="A138" s="2">
        <v>137</v>
      </c>
      <c r="B138" s="4">
        <f>YEAR(G138)</f>
        <v>2023</v>
      </c>
      <c r="C138" s="4">
        <f>MONTH(G138)</f>
        <v>11</v>
      </c>
      <c r="D138" s="4">
        <f>DAY(G138)</f>
        <v>18</v>
      </c>
      <c r="E138" s="4" t="str">
        <f>TEXT(G138, "mmmm")</f>
        <v>November</v>
      </c>
      <c r="F138" s="4" t="str">
        <f>TEXT(G138, "dddd")</f>
        <v>Saturday</v>
      </c>
      <c r="G138" s="3">
        <v>45248</v>
      </c>
      <c r="H138" s="4" t="s">
        <v>164</v>
      </c>
      <c r="I138" s="4" t="s">
        <v>16</v>
      </c>
      <c r="J138" s="4">
        <v>46</v>
      </c>
      <c r="K138" s="4" t="str" cm="1">
        <f t="array" ref="K138">_xlfn.IFS(J138&lt;30, "Young Adult", J138&lt;50, "Adult", J138&gt;=50, "Senior")</f>
        <v>Adult</v>
      </c>
      <c r="L138" s="4" t="s">
        <v>17</v>
      </c>
      <c r="M138" s="4">
        <v>2</v>
      </c>
      <c r="N138" s="5">
        <v>500</v>
      </c>
      <c r="O138">
        <f>M138*N138</f>
        <v>1000</v>
      </c>
      <c r="P138" s="14">
        <f>O138*$S$3</f>
        <v>15</v>
      </c>
    </row>
    <row r="139" spans="1:16">
      <c r="A139" s="2">
        <v>138</v>
      </c>
      <c r="B139" s="4">
        <f>YEAR(G139)</f>
        <v>2023</v>
      </c>
      <c r="C139" s="4">
        <f>MONTH(G139)</f>
        <v>3</v>
      </c>
      <c r="D139" s="4">
        <f>DAY(G139)</f>
        <v>23</v>
      </c>
      <c r="E139" s="4" t="str">
        <f>TEXT(G139, "mmmm")</f>
        <v>March</v>
      </c>
      <c r="F139" s="4" t="str">
        <f>TEXT(G139, "dddd")</f>
        <v>Thursday</v>
      </c>
      <c r="G139" s="3">
        <v>45008</v>
      </c>
      <c r="H139" s="4" t="s">
        <v>165</v>
      </c>
      <c r="I139" s="4" t="s">
        <v>16</v>
      </c>
      <c r="J139" s="4">
        <v>49</v>
      </c>
      <c r="K139" s="4" t="str" cm="1">
        <f t="array" ref="K139">_xlfn.IFS(J139&lt;30, "Young Adult", J139&lt;50, "Adult", J139&gt;=50, "Senior")</f>
        <v>Adult</v>
      </c>
      <c r="L139" s="4" t="s">
        <v>21</v>
      </c>
      <c r="M139" s="4">
        <v>4</v>
      </c>
      <c r="N139" s="5">
        <v>50</v>
      </c>
      <c r="O139">
        <f>M139*N139</f>
        <v>200</v>
      </c>
      <c r="P139" s="14">
        <f>O139*$S$3</f>
        <v>3</v>
      </c>
    </row>
    <row r="140" spans="1:16">
      <c r="A140" s="2">
        <v>139</v>
      </c>
      <c r="B140" s="4">
        <f>YEAR(G140)</f>
        <v>2023</v>
      </c>
      <c r="C140" s="4">
        <f>MONTH(G140)</f>
        <v>12</v>
      </c>
      <c r="D140" s="4">
        <f>DAY(G140)</f>
        <v>15</v>
      </c>
      <c r="E140" s="4" t="str">
        <f>TEXT(G140, "mmmm")</f>
        <v>December</v>
      </c>
      <c r="F140" s="4" t="str">
        <f>TEXT(G140, "dddd")</f>
        <v>Friday</v>
      </c>
      <c r="G140" s="3">
        <v>45275</v>
      </c>
      <c r="H140" s="4" t="s">
        <v>166</v>
      </c>
      <c r="I140" s="4" t="s">
        <v>16</v>
      </c>
      <c r="J140" s="4">
        <v>36</v>
      </c>
      <c r="K140" s="4" t="str" cm="1">
        <f t="array" ref="K140">_xlfn.IFS(J140&lt;30, "Young Adult", J140&lt;50, "Adult", J140&gt;=50, "Senior")</f>
        <v>Adult</v>
      </c>
      <c r="L140" s="4" t="s">
        <v>17</v>
      </c>
      <c r="M140" s="4">
        <v>4</v>
      </c>
      <c r="N140" s="5">
        <v>500</v>
      </c>
      <c r="O140">
        <f>M140*N140</f>
        <v>2000</v>
      </c>
      <c r="P140" s="14">
        <f>O140*$S$3</f>
        <v>30</v>
      </c>
    </row>
    <row r="141" spans="1:16">
      <c r="A141" s="2">
        <v>140</v>
      </c>
      <c r="B141" s="4">
        <f>YEAR(G141)</f>
        <v>2023</v>
      </c>
      <c r="C141" s="4">
        <f>MONTH(G141)</f>
        <v>8</v>
      </c>
      <c r="D141" s="4">
        <f>DAY(G141)</f>
        <v>5</v>
      </c>
      <c r="E141" s="4" t="str">
        <f>TEXT(G141, "mmmm")</f>
        <v>August</v>
      </c>
      <c r="F141" s="4" t="str">
        <f>TEXT(G141, "dddd")</f>
        <v>Saturday</v>
      </c>
      <c r="G141" s="3">
        <v>45143</v>
      </c>
      <c r="H141" s="4" t="s">
        <v>167</v>
      </c>
      <c r="I141" s="4" t="s">
        <v>16</v>
      </c>
      <c r="J141" s="4">
        <v>38</v>
      </c>
      <c r="K141" s="4" t="str" cm="1">
        <f t="array" ref="K141">_xlfn.IFS(J141&lt;30, "Young Adult", J141&lt;50, "Adult", J141&gt;=50, "Senior")</f>
        <v>Adult</v>
      </c>
      <c r="L141" s="4" t="s">
        <v>24</v>
      </c>
      <c r="M141" s="4">
        <v>1</v>
      </c>
      <c r="N141" s="5">
        <v>30</v>
      </c>
      <c r="O141">
        <f>M141*N141</f>
        <v>30</v>
      </c>
      <c r="P141" s="14">
        <f>O141*$S$3</f>
        <v>0.44999999999999996</v>
      </c>
    </row>
    <row r="142" spans="1:16">
      <c r="A142" s="2">
        <v>141</v>
      </c>
      <c r="B142" s="4">
        <f>YEAR(G142)</f>
        <v>2023</v>
      </c>
      <c r="C142" s="4">
        <f>MONTH(G142)</f>
        <v>11</v>
      </c>
      <c r="D142" s="4">
        <f>DAY(G142)</f>
        <v>2</v>
      </c>
      <c r="E142" s="4" t="str">
        <f>TEXT(G142, "mmmm")</f>
        <v>November</v>
      </c>
      <c r="F142" s="4" t="str">
        <f>TEXT(G142, "dddd")</f>
        <v>Thursday</v>
      </c>
      <c r="G142" s="3">
        <v>45232</v>
      </c>
      <c r="H142" s="4" t="s">
        <v>168</v>
      </c>
      <c r="I142" s="4" t="s">
        <v>20</v>
      </c>
      <c r="J142" s="4">
        <v>22</v>
      </c>
      <c r="K142" s="4" t="str" cm="1">
        <f t="array" ref="K142">_xlfn.IFS(J142&lt;30, "Young Adult", J142&lt;50, "Adult", J142&gt;=50, "Senior")</f>
        <v>Young Adult</v>
      </c>
      <c r="L142" s="4" t="s">
        <v>24</v>
      </c>
      <c r="M142" s="4">
        <v>1</v>
      </c>
      <c r="N142" s="5">
        <v>50</v>
      </c>
      <c r="O142">
        <f>M142*N142</f>
        <v>50</v>
      </c>
      <c r="P142" s="14">
        <f>O142*$S$3</f>
        <v>0.75</v>
      </c>
    </row>
    <row r="143" spans="1:16">
      <c r="A143" s="2">
        <v>142</v>
      </c>
      <c r="B143" s="4">
        <f>YEAR(G143)</f>
        <v>2023</v>
      </c>
      <c r="C143" s="4">
        <f>MONTH(G143)</f>
        <v>2</v>
      </c>
      <c r="D143" s="4">
        <f>DAY(G143)</f>
        <v>2</v>
      </c>
      <c r="E143" s="4" t="str">
        <f>TEXT(G143, "mmmm")</f>
        <v>February</v>
      </c>
      <c r="F143" s="4" t="str">
        <f>TEXT(G143, "dddd")</f>
        <v>Thursday</v>
      </c>
      <c r="G143" s="3">
        <v>44959</v>
      </c>
      <c r="H143" s="4" t="s">
        <v>169</v>
      </c>
      <c r="I143" s="4" t="s">
        <v>16</v>
      </c>
      <c r="J143" s="4">
        <v>35</v>
      </c>
      <c r="K143" s="4" t="str" cm="1">
        <f t="array" ref="K143">_xlfn.IFS(J143&lt;30, "Young Adult", J143&lt;50, "Adult", J143&gt;=50, "Senior")</f>
        <v>Adult</v>
      </c>
      <c r="L143" s="4" t="s">
        <v>24</v>
      </c>
      <c r="M143" s="4">
        <v>4</v>
      </c>
      <c r="N143" s="5">
        <v>300</v>
      </c>
      <c r="O143">
        <f>M143*N143</f>
        <v>1200</v>
      </c>
      <c r="P143" s="14">
        <f>O143*$S$3</f>
        <v>18</v>
      </c>
    </row>
    <row r="144" spans="1:16">
      <c r="A144" s="2">
        <v>143</v>
      </c>
      <c r="B144" s="4">
        <f>YEAR(G144)</f>
        <v>2023</v>
      </c>
      <c r="C144" s="4">
        <f>MONTH(G144)</f>
        <v>7</v>
      </c>
      <c r="D144" s="4">
        <f>DAY(G144)</f>
        <v>17</v>
      </c>
      <c r="E144" s="4" t="str">
        <f>TEXT(G144, "mmmm")</f>
        <v>July</v>
      </c>
      <c r="F144" s="4" t="str">
        <f>TEXT(G144, "dddd")</f>
        <v>Monday</v>
      </c>
      <c r="G144" s="3">
        <v>45124</v>
      </c>
      <c r="H144" s="4" t="s">
        <v>170</v>
      </c>
      <c r="I144" s="4" t="s">
        <v>20</v>
      </c>
      <c r="J144" s="4">
        <v>45</v>
      </c>
      <c r="K144" s="4" t="str" cm="1">
        <f t="array" ref="K144">_xlfn.IFS(J144&lt;30, "Young Adult", J144&lt;50, "Adult", J144&gt;=50, "Senior")</f>
        <v>Adult</v>
      </c>
      <c r="L144" s="4" t="s">
        <v>21</v>
      </c>
      <c r="M144" s="4">
        <v>1</v>
      </c>
      <c r="N144" s="5">
        <v>50</v>
      </c>
      <c r="O144">
        <f>M144*N144</f>
        <v>50</v>
      </c>
      <c r="P144" s="14">
        <f>O144*$S$3</f>
        <v>0.75</v>
      </c>
    </row>
    <row r="145" spans="1:16">
      <c r="A145" s="2">
        <v>144</v>
      </c>
      <c r="B145" s="4">
        <f>YEAR(G145)</f>
        <v>2023</v>
      </c>
      <c r="C145" s="4">
        <f>MONTH(G145)</f>
        <v>7</v>
      </c>
      <c r="D145" s="4">
        <f>DAY(G145)</f>
        <v>15</v>
      </c>
      <c r="E145" s="4" t="str">
        <f>TEXT(G145, "mmmm")</f>
        <v>July</v>
      </c>
      <c r="F145" s="4" t="str">
        <f>TEXT(G145, "dddd")</f>
        <v>Saturday</v>
      </c>
      <c r="G145" s="3">
        <v>45122</v>
      </c>
      <c r="H145" s="4" t="s">
        <v>171</v>
      </c>
      <c r="I145" s="4" t="s">
        <v>20</v>
      </c>
      <c r="J145" s="4">
        <v>59</v>
      </c>
      <c r="K145" s="4" t="str" cm="1">
        <f t="array" ref="K145">_xlfn.IFS(J145&lt;30, "Young Adult", J145&lt;50, "Adult", J145&gt;=50, "Senior")</f>
        <v>Senior</v>
      </c>
      <c r="L145" s="4" t="s">
        <v>17</v>
      </c>
      <c r="M145" s="4">
        <v>3</v>
      </c>
      <c r="N145" s="5">
        <v>500</v>
      </c>
      <c r="O145">
        <f>M145*N145</f>
        <v>1500</v>
      </c>
      <c r="P145" s="14">
        <f>O145*$S$3</f>
        <v>22.5</v>
      </c>
    </row>
    <row r="146" spans="1:16">
      <c r="A146" s="2">
        <v>145</v>
      </c>
      <c r="B146" s="4">
        <f>YEAR(G146)</f>
        <v>2023</v>
      </c>
      <c r="C146" s="4">
        <f>MONTH(G146)</f>
        <v>11</v>
      </c>
      <c r="D146" s="4">
        <f>DAY(G146)</f>
        <v>2</v>
      </c>
      <c r="E146" s="4" t="str">
        <f>TEXT(G146, "mmmm")</f>
        <v>November</v>
      </c>
      <c r="F146" s="4" t="str">
        <f>TEXT(G146, "dddd")</f>
        <v>Thursday</v>
      </c>
      <c r="G146" s="3">
        <v>45232</v>
      </c>
      <c r="H146" s="4" t="s">
        <v>172</v>
      </c>
      <c r="I146" s="4" t="s">
        <v>20</v>
      </c>
      <c r="J146" s="4">
        <v>39</v>
      </c>
      <c r="K146" s="4" t="str" cm="1">
        <f t="array" ref="K146">_xlfn.IFS(J146&lt;30, "Young Adult", J146&lt;50, "Adult", J146&gt;=50, "Senior")</f>
        <v>Adult</v>
      </c>
      <c r="L146" s="4" t="s">
        <v>21</v>
      </c>
      <c r="M146" s="4">
        <v>3</v>
      </c>
      <c r="N146" s="5">
        <v>25</v>
      </c>
      <c r="O146">
        <f>M146*N146</f>
        <v>75</v>
      </c>
      <c r="P146" s="14">
        <f>O146*$S$3</f>
        <v>1.125</v>
      </c>
    </row>
    <row r="147" spans="1:16">
      <c r="A147" s="2">
        <v>146</v>
      </c>
      <c r="B147" s="4">
        <f>YEAR(G147)</f>
        <v>2023</v>
      </c>
      <c r="C147" s="4">
        <f>MONTH(G147)</f>
        <v>8</v>
      </c>
      <c r="D147" s="4">
        <f>DAY(G147)</f>
        <v>28</v>
      </c>
      <c r="E147" s="4" t="str">
        <f>TEXT(G147, "mmmm")</f>
        <v>August</v>
      </c>
      <c r="F147" s="4" t="str">
        <f>TEXT(G147, "dddd")</f>
        <v>Monday</v>
      </c>
      <c r="G147" s="3">
        <v>45166</v>
      </c>
      <c r="H147" s="4" t="s">
        <v>173</v>
      </c>
      <c r="I147" s="4" t="s">
        <v>16</v>
      </c>
      <c r="J147" s="4">
        <v>38</v>
      </c>
      <c r="K147" s="4" t="str" cm="1">
        <f t="array" ref="K147">_xlfn.IFS(J147&lt;30, "Young Adult", J147&lt;50, "Adult", J147&gt;=50, "Senior")</f>
        <v>Adult</v>
      </c>
      <c r="L147" s="4" t="s">
        <v>21</v>
      </c>
      <c r="M147" s="4">
        <v>4</v>
      </c>
      <c r="N147" s="5">
        <v>50</v>
      </c>
      <c r="O147">
        <f>M147*N147</f>
        <v>200</v>
      </c>
      <c r="P147" s="14">
        <f>O147*$S$3</f>
        <v>3</v>
      </c>
    </row>
    <row r="148" spans="1:16">
      <c r="A148" s="2">
        <v>147</v>
      </c>
      <c r="B148" s="4">
        <f>YEAR(G148)</f>
        <v>2023</v>
      </c>
      <c r="C148" s="4">
        <f>MONTH(G148)</f>
        <v>9</v>
      </c>
      <c r="D148" s="4">
        <f>DAY(G148)</f>
        <v>28</v>
      </c>
      <c r="E148" s="4" t="str">
        <f>TEXT(G148, "mmmm")</f>
        <v>September</v>
      </c>
      <c r="F148" s="4" t="str">
        <f>TEXT(G148, "dddd")</f>
        <v>Thursday</v>
      </c>
      <c r="G148" s="3">
        <v>45197</v>
      </c>
      <c r="H148" s="4" t="s">
        <v>174</v>
      </c>
      <c r="I148" s="4" t="s">
        <v>16</v>
      </c>
      <c r="J148" s="4">
        <v>23</v>
      </c>
      <c r="K148" s="4" t="str" cm="1">
        <f t="array" ref="K148">_xlfn.IFS(J148&lt;30, "Young Adult", J148&lt;50, "Adult", J148&gt;=50, "Senior")</f>
        <v>Young Adult</v>
      </c>
      <c r="L148" s="4" t="s">
        <v>24</v>
      </c>
      <c r="M148" s="4">
        <v>1</v>
      </c>
      <c r="N148" s="5">
        <v>300</v>
      </c>
      <c r="O148">
        <f>M148*N148</f>
        <v>300</v>
      </c>
      <c r="P148" s="14">
        <f>O148*$S$3</f>
        <v>4.5</v>
      </c>
    </row>
    <row r="149" spans="1:16">
      <c r="A149" s="2">
        <v>148</v>
      </c>
      <c r="B149" s="4">
        <f>YEAR(G149)</f>
        <v>2023</v>
      </c>
      <c r="C149" s="4">
        <f>MONTH(G149)</f>
        <v>5</v>
      </c>
      <c r="D149" s="4">
        <f>DAY(G149)</f>
        <v>9</v>
      </c>
      <c r="E149" s="4" t="str">
        <f>TEXT(G149, "mmmm")</f>
        <v>May</v>
      </c>
      <c r="F149" s="4" t="str">
        <f>TEXT(G149, "dddd")</f>
        <v>Tuesday</v>
      </c>
      <c r="G149" s="3">
        <v>45055</v>
      </c>
      <c r="H149" s="4" t="s">
        <v>175</v>
      </c>
      <c r="I149" s="4" t="s">
        <v>16</v>
      </c>
      <c r="J149" s="4">
        <v>18</v>
      </c>
      <c r="K149" s="4" t="str" cm="1">
        <f t="array" ref="K149">_xlfn.IFS(J149&lt;30, "Young Adult", J149&lt;50, "Adult", J149&gt;=50, "Senior")</f>
        <v>Young Adult</v>
      </c>
      <c r="L149" s="4" t="s">
        <v>21</v>
      </c>
      <c r="M149" s="4">
        <v>2</v>
      </c>
      <c r="N149" s="5">
        <v>30</v>
      </c>
      <c r="O149">
        <f>M149*N149</f>
        <v>60</v>
      </c>
      <c r="P149" s="14">
        <f>O149*$S$3</f>
        <v>0.89999999999999991</v>
      </c>
    </row>
    <row r="150" spans="1:16">
      <c r="A150" s="2">
        <v>149</v>
      </c>
      <c r="B150" s="4">
        <f>YEAR(G150)</f>
        <v>2023</v>
      </c>
      <c r="C150" s="4">
        <f>MONTH(G150)</f>
        <v>10</v>
      </c>
      <c r="D150" s="4">
        <f>DAY(G150)</f>
        <v>11</v>
      </c>
      <c r="E150" s="4" t="str">
        <f>TEXT(G150, "mmmm")</f>
        <v>October</v>
      </c>
      <c r="F150" s="4" t="str">
        <f>TEXT(G150, "dddd")</f>
        <v>Wednesday</v>
      </c>
      <c r="G150" s="3">
        <v>45210</v>
      </c>
      <c r="H150" s="4" t="s">
        <v>176</v>
      </c>
      <c r="I150" s="4" t="s">
        <v>16</v>
      </c>
      <c r="J150" s="4">
        <v>22</v>
      </c>
      <c r="K150" s="4" t="str" cm="1">
        <f t="array" ref="K150">_xlfn.IFS(J150&lt;30, "Young Adult", J150&lt;50, "Adult", J150&gt;=50, "Senior")</f>
        <v>Young Adult</v>
      </c>
      <c r="L150" s="4" t="s">
        <v>21</v>
      </c>
      <c r="M150" s="4">
        <v>3</v>
      </c>
      <c r="N150" s="5">
        <v>25</v>
      </c>
      <c r="O150">
        <f>M150*N150</f>
        <v>75</v>
      </c>
      <c r="P150" s="14">
        <f>O150*$S$3</f>
        <v>1.125</v>
      </c>
    </row>
    <row r="151" spans="1:16">
      <c r="A151" s="2">
        <v>150</v>
      </c>
      <c r="B151" s="4">
        <f>YEAR(G151)</f>
        <v>2023</v>
      </c>
      <c r="C151" s="4">
        <f>MONTH(G151)</f>
        <v>1</v>
      </c>
      <c r="D151" s="4">
        <f>DAY(G151)</f>
        <v>6</v>
      </c>
      <c r="E151" s="4" t="str">
        <f>TEXT(G151, "mmmm")</f>
        <v>January</v>
      </c>
      <c r="F151" s="4" t="str">
        <f>TEXT(G151, "dddd")</f>
        <v>Friday</v>
      </c>
      <c r="G151" s="3">
        <v>44932</v>
      </c>
      <c r="H151" s="4" t="s">
        <v>177</v>
      </c>
      <c r="I151" s="4" t="s">
        <v>20</v>
      </c>
      <c r="J151" s="4">
        <v>58</v>
      </c>
      <c r="K151" s="4" t="str" cm="1">
        <f t="array" ref="K151">_xlfn.IFS(J151&lt;30, "Young Adult", J151&lt;50, "Adult", J151&gt;=50, "Senior")</f>
        <v>Senior</v>
      </c>
      <c r="L151" s="4" t="s">
        <v>24</v>
      </c>
      <c r="M151" s="4">
        <v>4</v>
      </c>
      <c r="N151" s="5">
        <v>30</v>
      </c>
      <c r="O151">
        <f>M151*N151</f>
        <v>120</v>
      </c>
      <c r="P151" s="14">
        <f>O151*$S$3</f>
        <v>1.7999999999999998</v>
      </c>
    </row>
    <row r="152" spans="1:16">
      <c r="A152" s="2">
        <v>151</v>
      </c>
      <c r="B152" s="4">
        <f>YEAR(G152)</f>
        <v>2023</v>
      </c>
      <c r="C152" s="4">
        <f>MONTH(G152)</f>
        <v>12</v>
      </c>
      <c r="D152" s="4">
        <f>DAY(G152)</f>
        <v>15</v>
      </c>
      <c r="E152" s="4" t="str">
        <f>TEXT(G152, "mmmm")</f>
        <v>December</v>
      </c>
      <c r="F152" s="4" t="str">
        <f>TEXT(G152, "dddd")</f>
        <v>Friday</v>
      </c>
      <c r="G152" s="3">
        <v>45275</v>
      </c>
      <c r="H152" s="4" t="s">
        <v>178</v>
      </c>
      <c r="I152" s="4" t="s">
        <v>16</v>
      </c>
      <c r="J152" s="4">
        <v>29</v>
      </c>
      <c r="K152" s="4" t="str" cm="1">
        <f t="array" ref="K152">_xlfn.IFS(J152&lt;30, "Young Adult", J152&lt;50, "Adult", J152&gt;=50, "Senior")</f>
        <v>Young Adult</v>
      </c>
      <c r="L152" s="4" t="s">
        <v>21</v>
      </c>
      <c r="M152" s="4">
        <v>1</v>
      </c>
      <c r="N152" s="5">
        <v>50</v>
      </c>
      <c r="O152">
        <f>M152*N152</f>
        <v>50</v>
      </c>
      <c r="P152" s="14">
        <f>O152*$S$3</f>
        <v>0.75</v>
      </c>
    </row>
    <row r="153" spans="1:16">
      <c r="A153" s="2">
        <v>152</v>
      </c>
      <c r="B153" s="4">
        <f>YEAR(G153)</f>
        <v>2023</v>
      </c>
      <c r="C153" s="4">
        <f>MONTH(G153)</f>
        <v>2</v>
      </c>
      <c r="D153" s="4">
        <f>DAY(G153)</f>
        <v>28</v>
      </c>
      <c r="E153" s="4" t="str">
        <f>TEXT(G153, "mmmm")</f>
        <v>February</v>
      </c>
      <c r="F153" s="4" t="str">
        <f>TEXT(G153, "dddd")</f>
        <v>Tuesday</v>
      </c>
      <c r="G153" s="3">
        <v>44985</v>
      </c>
      <c r="H153" s="4" t="s">
        <v>179</v>
      </c>
      <c r="I153" s="4" t="s">
        <v>16</v>
      </c>
      <c r="J153" s="4">
        <v>43</v>
      </c>
      <c r="K153" s="4" t="str" cm="1">
        <f t="array" ref="K153">_xlfn.IFS(J153&lt;30, "Young Adult", J153&lt;50, "Adult", J153&gt;=50, "Senior")</f>
        <v>Adult</v>
      </c>
      <c r="L153" s="4" t="s">
        <v>24</v>
      </c>
      <c r="M153" s="4">
        <v>4</v>
      </c>
      <c r="N153" s="5">
        <v>500</v>
      </c>
      <c r="O153">
        <f>M153*N153</f>
        <v>2000</v>
      </c>
      <c r="P153" s="14">
        <f>O153*$S$3</f>
        <v>30</v>
      </c>
    </row>
    <row r="154" spans="1:16">
      <c r="A154" s="2">
        <v>153</v>
      </c>
      <c r="B154" s="4">
        <f>YEAR(G154)</f>
        <v>2023</v>
      </c>
      <c r="C154" s="4">
        <f>MONTH(G154)</f>
        <v>12</v>
      </c>
      <c r="D154" s="4">
        <f>DAY(G154)</f>
        <v>16</v>
      </c>
      <c r="E154" s="4" t="str">
        <f>TEXT(G154, "mmmm")</f>
        <v>December</v>
      </c>
      <c r="F154" s="4" t="str">
        <f>TEXT(G154, "dddd")</f>
        <v>Saturday</v>
      </c>
      <c r="G154" s="3">
        <v>45276</v>
      </c>
      <c r="H154" s="4" t="s">
        <v>180</v>
      </c>
      <c r="I154" s="4" t="s">
        <v>16</v>
      </c>
      <c r="J154" s="4">
        <v>63</v>
      </c>
      <c r="K154" s="4" t="str" cm="1">
        <f t="array" ref="K154">_xlfn.IFS(J154&lt;30, "Young Adult", J154&lt;50, "Adult", J154&gt;=50, "Senior")</f>
        <v>Senior</v>
      </c>
      <c r="L154" s="4" t="s">
        <v>24</v>
      </c>
      <c r="M154" s="4">
        <v>2</v>
      </c>
      <c r="N154" s="5">
        <v>500</v>
      </c>
      <c r="O154">
        <f>M154*N154</f>
        <v>1000</v>
      </c>
      <c r="P154" s="14">
        <f>O154*$S$3</f>
        <v>15</v>
      </c>
    </row>
    <row r="155" spans="1:16">
      <c r="A155" s="2">
        <v>154</v>
      </c>
      <c r="B155" s="4">
        <f>YEAR(G155)</f>
        <v>2023</v>
      </c>
      <c r="C155" s="4">
        <f>MONTH(G155)</f>
        <v>10</v>
      </c>
      <c r="D155" s="4">
        <f>DAY(G155)</f>
        <v>2</v>
      </c>
      <c r="E155" s="4" t="str">
        <f>TEXT(G155, "mmmm")</f>
        <v>October</v>
      </c>
      <c r="F155" s="4" t="str">
        <f>TEXT(G155, "dddd")</f>
        <v>Monday</v>
      </c>
      <c r="G155" s="3">
        <v>45201</v>
      </c>
      <c r="H155" s="4" t="s">
        <v>181</v>
      </c>
      <c r="I155" s="4" t="s">
        <v>16</v>
      </c>
      <c r="J155" s="4">
        <v>51</v>
      </c>
      <c r="K155" s="4" t="str" cm="1">
        <f t="array" ref="K155">_xlfn.IFS(J155&lt;30, "Young Adult", J155&lt;50, "Adult", J155&gt;=50, "Senior")</f>
        <v>Senior</v>
      </c>
      <c r="L155" s="4" t="s">
        <v>24</v>
      </c>
      <c r="M155" s="4">
        <v>3</v>
      </c>
      <c r="N155" s="5">
        <v>300</v>
      </c>
      <c r="O155">
        <f>M155*N155</f>
        <v>900</v>
      </c>
      <c r="P155" s="14">
        <f>O155*$S$3</f>
        <v>13.5</v>
      </c>
    </row>
    <row r="156" spans="1:16">
      <c r="A156" s="2">
        <v>155</v>
      </c>
      <c r="B156" s="4">
        <f>YEAR(G156)</f>
        <v>2023</v>
      </c>
      <c r="C156" s="4">
        <f>MONTH(G156)</f>
        <v>5</v>
      </c>
      <c r="D156" s="4">
        <f>DAY(G156)</f>
        <v>17</v>
      </c>
      <c r="E156" s="4" t="str">
        <f>TEXT(G156, "mmmm")</f>
        <v>May</v>
      </c>
      <c r="F156" s="4" t="str">
        <f>TEXT(G156, "dddd")</f>
        <v>Wednesday</v>
      </c>
      <c r="G156" s="3">
        <v>45063</v>
      </c>
      <c r="H156" s="4" t="s">
        <v>182</v>
      </c>
      <c r="I156" s="4" t="s">
        <v>16</v>
      </c>
      <c r="J156" s="4">
        <v>31</v>
      </c>
      <c r="K156" s="4" t="str" cm="1">
        <f t="array" ref="K156">_xlfn.IFS(J156&lt;30, "Young Adult", J156&lt;50, "Adult", J156&gt;=50, "Senior")</f>
        <v>Adult</v>
      </c>
      <c r="L156" s="4" t="s">
        <v>24</v>
      </c>
      <c r="M156" s="4">
        <v>4</v>
      </c>
      <c r="N156" s="5">
        <v>500</v>
      </c>
      <c r="O156">
        <f>M156*N156</f>
        <v>2000</v>
      </c>
      <c r="P156" s="14">
        <f>O156*$S$3</f>
        <v>30</v>
      </c>
    </row>
    <row r="157" spans="1:16">
      <c r="A157" s="2">
        <v>156</v>
      </c>
      <c r="B157" s="4">
        <f>YEAR(G157)</f>
        <v>2023</v>
      </c>
      <c r="C157" s="4">
        <f>MONTH(G157)</f>
        <v>11</v>
      </c>
      <c r="D157" s="4">
        <f>DAY(G157)</f>
        <v>25</v>
      </c>
      <c r="E157" s="4" t="str">
        <f>TEXT(G157, "mmmm")</f>
        <v>November</v>
      </c>
      <c r="F157" s="4" t="str">
        <f>TEXT(G157, "dddd")</f>
        <v>Saturday</v>
      </c>
      <c r="G157" s="3">
        <v>45255</v>
      </c>
      <c r="H157" s="4" t="s">
        <v>183</v>
      </c>
      <c r="I157" s="4" t="s">
        <v>20</v>
      </c>
      <c r="J157" s="4">
        <v>43</v>
      </c>
      <c r="K157" s="4" t="str" cm="1">
        <f t="array" ref="K157">_xlfn.IFS(J157&lt;30, "Young Adult", J157&lt;50, "Adult", J157&gt;=50, "Senior")</f>
        <v>Adult</v>
      </c>
      <c r="L157" s="4" t="s">
        <v>21</v>
      </c>
      <c r="M157" s="4">
        <v>4</v>
      </c>
      <c r="N157" s="5">
        <v>25</v>
      </c>
      <c r="O157">
        <f>M157*N157</f>
        <v>100</v>
      </c>
      <c r="P157" s="14">
        <f>O157*$S$3</f>
        <v>1.5</v>
      </c>
    </row>
    <row r="158" spans="1:16">
      <c r="A158" s="2">
        <v>157</v>
      </c>
      <c r="B158" s="4">
        <f>YEAR(G158)</f>
        <v>2023</v>
      </c>
      <c r="C158" s="4">
        <f>MONTH(G158)</f>
        <v>6</v>
      </c>
      <c r="D158" s="4">
        <f>DAY(G158)</f>
        <v>24</v>
      </c>
      <c r="E158" s="4" t="str">
        <f>TEXT(G158, "mmmm")</f>
        <v>June</v>
      </c>
      <c r="F158" s="4" t="str">
        <f>TEXT(G158, "dddd")</f>
        <v>Saturday</v>
      </c>
      <c r="G158" s="3">
        <v>45101</v>
      </c>
      <c r="H158" s="4" t="s">
        <v>184</v>
      </c>
      <c r="I158" s="4" t="s">
        <v>16</v>
      </c>
      <c r="J158" s="4">
        <v>62</v>
      </c>
      <c r="K158" s="4" t="str" cm="1">
        <f t="array" ref="K158">_xlfn.IFS(J158&lt;30, "Young Adult", J158&lt;50, "Adult", J158&gt;=50, "Senior")</f>
        <v>Senior</v>
      </c>
      <c r="L158" s="4" t="s">
        <v>24</v>
      </c>
      <c r="M158" s="4">
        <v>4</v>
      </c>
      <c r="N158" s="5">
        <v>500</v>
      </c>
      <c r="O158">
        <f>M158*N158</f>
        <v>2000</v>
      </c>
      <c r="P158" s="14">
        <f>O158*$S$3</f>
        <v>30</v>
      </c>
    </row>
    <row r="159" spans="1:16">
      <c r="A159" s="2">
        <v>158</v>
      </c>
      <c r="B159" s="4">
        <f>YEAR(G159)</f>
        <v>2023</v>
      </c>
      <c r="C159" s="4">
        <f>MONTH(G159)</f>
        <v>2</v>
      </c>
      <c r="D159" s="4">
        <f>DAY(G159)</f>
        <v>27</v>
      </c>
      <c r="E159" s="4" t="str">
        <f>TEXT(G159, "mmmm")</f>
        <v>February</v>
      </c>
      <c r="F159" s="4" t="str">
        <f>TEXT(G159, "dddd")</f>
        <v>Monday</v>
      </c>
      <c r="G159" s="3">
        <v>44984</v>
      </c>
      <c r="H159" s="4" t="s">
        <v>185</v>
      </c>
      <c r="I159" s="4" t="s">
        <v>20</v>
      </c>
      <c r="J159" s="4">
        <v>44</v>
      </c>
      <c r="K159" s="4" t="str" cm="1">
        <f t="array" ref="K159">_xlfn.IFS(J159&lt;30, "Young Adult", J159&lt;50, "Adult", J159&gt;=50, "Senior")</f>
        <v>Adult</v>
      </c>
      <c r="L159" s="4" t="s">
        <v>24</v>
      </c>
      <c r="M159" s="4">
        <v>2</v>
      </c>
      <c r="N159" s="5">
        <v>300</v>
      </c>
      <c r="O159">
        <f>M159*N159</f>
        <v>600</v>
      </c>
      <c r="P159" s="14">
        <f>O159*$S$3</f>
        <v>9</v>
      </c>
    </row>
    <row r="160" spans="1:16">
      <c r="A160" s="2">
        <v>159</v>
      </c>
      <c r="B160" s="4">
        <f>YEAR(G160)</f>
        <v>2023</v>
      </c>
      <c r="C160" s="4">
        <f>MONTH(G160)</f>
        <v>5</v>
      </c>
      <c r="D160" s="4">
        <f>DAY(G160)</f>
        <v>31</v>
      </c>
      <c r="E160" s="4" t="str">
        <f>TEXT(G160, "mmmm")</f>
        <v>May</v>
      </c>
      <c r="F160" s="4" t="str">
        <f>TEXT(G160, "dddd")</f>
        <v>Wednesday</v>
      </c>
      <c r="G160" s="3">
        <v>45077</v>
      </c>
      <c r="H160" s="4" t="s">
        <v>186</v>
      </c>
      <c r="I160" s="4" t="s">
        <v>16</v>
      </c>
      <c r="J160" s="4">
        <v>26</v>
      </c>
      <c r="K160" s="4" t="str" cm="1">
        <f t="array" ref="K160">_xlfn.IFS(J160&lt;30, "Young Adult", J160&lt;50, "Adult", J160&gt;=50, "Senior")</f>
        <v>Young Adult</v>
      </c>
      <c r="L160" s="4" t="s">
        <v>21</v>
      </c>
      <c r="M160" s="4">
        <v>4</v>
      </c>
      <c r="N160" s="5">
        <v>50</v>
      </c>
      <c r="O160">
        <f>M160*N160</f>
        <v>200</v>
      </c>
      <c r="P160" s="14">
        <f>O160*$S$3</f>
        <v>3</v>
      </c>
    </row>
    <row r="161" spans="1:16">
      <c r="A161" s="2">
        <v>160</v>
      </c>
      <c r="B161" s="4">
        <f>YEAR(G161)</f>
        <v>2023</v>
      </c>
      <c r="C161" s="4">
        <f>MONTH(G161)</f>
        <v>8</v>
      </c>
      <c r="D161" s="4">
        <f>DAY(G161)</f>
        <v>11</v>
      </c>
      <c r="E161" s="4" t="str">
        <f>TEXT(G161, "mmmm")</f>
        <v>August</v>
      </c>
      <c r="F161" s="4" t="str">
        <f>TEXT(G161, "dddd")</f>
        <v>Friday</v>
      </c>
      <c r="G161" s="3">
        <v>45149</v>
      </c>
      <c r="H161" s="4" t="s">
        <v>187</v>
      </c>
      <c r="I161" s="4" t="s">
        <v>20</v>
      </c>
      <c r="J161" s="4">
        <v>43</v>
      </c>
      <c r="K161" s="4" t="str" cm="1">
        <f t="array" ref="K161">_xlfn.IFS(J161&lt;30, "Young Adult", J161&lt;50, "Adult", J161&gt;=50, "Senior")</f>
        <v>Adult</v>
      </c>
      <c r="L161" s="4" t="s">
        <v>21</v>
      </c>
      <c r="M161" s="4">
        <v>2</v>
      </c>
      <c r="N161" s="5">
        <v>50</v>
      </c>
      <c r="O161">
        <f>M161*N161</f>
        <v>100</v>
      </c>
      <c r="P161" s="14">
        <f>O161*$S$3</f>
        <v>1.5</v>
      </c>
    </row>
    <row r="162" spans="1:16">
      <c r="A162" s="2">
        <v>161</v>
      </c>
      <c r="B162" s="4">
        <f>YEAR(G162)</f>
        <v>2023</v>
      </c>
      <c r="C162" s="4">
        <f>MONTH(G162)</f>
        <v>3</v>
      </c>
      <c r="D162" s="4">
        <f>DAY(G162)</f>
        <v>22</v>
      </c>
      <c r="E162" s="4" t="str">
        <f>TEXT(G162, "mmmm")</f>
        <v>March</v>
      </c>
      <c r="F162" s="4" t="str">
        <f>TEXT(G162, "dddd")</f>
        <v>Wednesday</v>
      </c>
      <c r="G162" s="3">
        <v>45007</v>
      </c>
      <c r="H162" s="4" t="s">
        <v>188</v>
      </c>
      <c r="I162" s="4" t="s">
        <v>16</v>
      </c>
      <c r="J162" s="4">
        <v>64</v>
      </c>
      <c r="K162" s="4" t="str" cm="1">
        <f t="array" ref="K162">_xlfn.IFS(J162&lt;30, "Young Adult", J162&lt;50, "Adult", J162&gt;=50, "Senior")</f>
        <v>Senior</v>
      </c>
      <c r="L162" s="4" t="s">
        <v>17</v>
      </c>
      <c r="M162" s="4">
        <v>2</v>
      </c>
      <c r="N162" s="5">
        <v>500</v>
      </c>
      <c r="O162">
        <f>M162*N162</f>
        <v>1000</v>
      </c>
      <c r="P162" s="14">
        <f>O162*$S$3</f>
        <v>15</v>
      </c>
    </row>
    <row r="163" spans="1:16">
      <c r="A163" s="2">
        <v>162</v>
      </c>
      <c r="B163" s="4">
        <f>YEAR(G163)</f>
        <v>2023</v>
      </c>
      <c r="C163" s="4">
        <f>MONTH(G163)</f>
        <v>8</v>
      </c>
      <c r="D163" s="4">
        <f>DAY(G163)</f>
        <v>21</v>
      </c>
      <c r="E163" s="4" t="str">
        <f>TEXT(G163, "mmmm")</f>
        <v>August</v>
      </c>
      <c r="F163" s="4" t="str">
        <f>TEXT(G163, "dddd")</f>
        <v>Monday</v>
      </c>
      <c r="G163" s="3">
        <v>45159</v>
      </c>
      <c r="H163" s="4" t="s">
        <v>189</v>
      </c>
      <c r="I163" s="4" t="s">
        <v>16</v>
      </c>
      <c r="J163" s="4">
        <v>39</v>
      </c>
      <c r="K163" s="4" t="str" cm="1">
        <f t="array" ref="K163">_xlfn.IFS(J163&lt;30, "Young Adult", J163&lt;50, "Adult", J163&gt;=50, "Senior")</f>
        <v>Adult</v>
      </c>
      <c r="L163" s="4" t="s">
        <v>21</v>
      </c>
      <c r="M163" s="4">
        <v>2</v>
      </c>
      <c r="N163" s="5">
        <v>30</v>
      </c>
      <c r="O163">
        <f>M163*N163</f>
        <v>60</v>
      </c>
      <c r="P163" s="14">
        <f>O163*$S$3</f>
        <v>0.89999999999999991</v>
      </c>
    </row>
    <row r="164" spans="1:16">
      <c r="A164" s="2">
        <v>163</v>
      </c>
      <c r="B164" s="4">
        <f>YEAR(G164)</f>
        <v>2023</v>
      </c>
      <c r="C164" s="4">
        <f>MONTH(G164)</f>
        <v>1</v>
      </c>
      <c r="D164" s="4">
        <f>DAY(G164)</f>
        <v>2</v>
      </c>
      <c r="E164" s="4" t="str">
        <f>TEXT(G164, "mmmm")</f>
        <v>January</v>
      </c>
      <c r="F164" s="4" t="str">
        <f>TEXT(G164, "dddd")</f>
        <v>Monday</v>
      </c>
      <c r="G164" s="3">
        <v>44928</v>
      </c>
      <c r="H164" s="4" t="s">
        <v>190</v>
      </c>
      <c r="I164" s="4" t="s">
        <v>20</v>
      </c>
      <c r="J164" s="4">
        <v>64</v>
      </c>
      <c r="K164" s="4" t="str" cm="1">
        <f t="array" ref="K164">_xlfn.IFS(J164&lt;30, "Young Adult", J164&lt;50, "Adult", J164&gt;=50, "Senior")</f>
        <v>Senior</v>
      </c>
      <c r="L164" s="4" t="s">
        <v>21</v>
      </c>
      <c r="M164" s="4">
        <v>3</v>
      </c>
      <c r="N164" s="5">
        <v>50</v>
      </c>
      <c r="O164">
        <f>M164*N164</f>
        <v>150</v>
      </c>
      <c r="P164" s="14">
        <f>O164*$S$3</f>
        <v>2.25</v>
      </c>
    </row>
    <row r="165" spans="1:16">
      <c r="A165" s="2">
        <v>164</v>
      </c>
      <c r="B165" s="4">
        <f>YEAR(G165)</f>
        <v>2023</v>
      </c>
      <c r="C165" s="4">
        <f>MONTH(G165)</f>
        <v>5</v>
      </c>
      <c r="D165" s="4">
        <f>DAY(G165)</f>
        <v>15</v>
      </c>
      <c r="E165" s="4" t="str">
        <f>TEXT(G165, "mmmm")</f>
        <v>May</v>
      </c>
      <c r="F165" s="4" t="str">
        <f>TEXT(G165, "dddd")</f>
        <v>Monday</v>
      </c>
      <c r="G165" s="3">
        <v>45061</v>
      </c>
      <c r="H165" s="4" t="s">
        <v>191</v>
      </c>
      <c r="I165" s="4" t="s">
        <v>20</v>
      </c>
      <c r="J165" s="4">
        <v>47</v>
      </c>
      <c r="K165" s="4" t="str" cm="1">
        <f t="array" ref="K165">_xlfn.IFS(J165&lt;30, "Young Adult", J165&lt;50, "Adult", J165&gt;=50, "Senior")</f>
        <v>Adult</v>
      </c>
      <c r="L165" s="4" t="s">
        <v>17</v>
      </c>
      <c r="M165" s="4">
        <v>3</v>
      </c>
      <c r="N165" s="5">
        <v>500</v>
      </c>
      <c r="O165">
        <f>M165*N165</f>
        <v>1500</v>
      </c>
      <c r="P165" s="14">
        <f>O165*$S$3</f>
        <v>22.5</v>
      </c>
    </row>
    <row r="166" spans="1:16">
      <c r="A166" s="2">
        <v>165</v>
      </c>
      <c r="B166" s="4">
        <f>YEAR(G166)</f>
        <v>2023</v>
      </c>
      <c r="C166" s="4">
        <f>MONTH(G166)</f>
        <v>9</v>
      </c>
      <c r="D166" s="4">
        <f>DAY(G166)</f>
        <v>14</v>
      </c>
      <c r="E166" s="4" t="str">
        <f>TEXT(G166, "mmmm")</f>
        <v>September</v>
      </c>
      <c r="F166" s="4" t="str">
        <f>TEXT(G166, "dddd")</f>
        <v>Thursday</v>
      </c>
      <c r="G166" s="3">
        <v>45183</v>
      </c>
      <c r="H166" s="4" t="s">
        <v>192</v>
      </c>
      <c r="I166" s="4" t="s">
        <v>20</v>
      </c>
      <c r="J166" s="4">
        <v>60</v>
      </c>
      <c r="K166" s="4" t="str" cm="1">
        <f t="array" ref="K166">_xlfn.IFS(J166&lt;30, "Young Adult", J166&lt;50, "Adult", J166&gt;=50, "Senior")</f>
        <v>Senior</v>
      </c>
      <c r="L166" s="4" t="s">
        <v>21</v>
      </c>
      <c r="M166" s="4">
        <v>4</v>
      </c>
      <c r="N166" s="5">
        <v>300</v>
      </c>
      <c r="O166">
        <f>M166*N166</f>
        <v>1200</v>
      </c>
      <c r="P166" s="14">
        <f>O166*$S$3</f>
        <v>18</v>
      </c>
    </row>
    <row r="167" spans="1:16">
      <c r="A167" s="2">
        <v>166</v>
      </c>
      <c r="B167" s="4">
        <f>YEAR(G167)</f>
        <v>2023</v>
      </c>
      <c r="C167" s="4">
        <f>MONTH(G167)</f>
        <v>4</v>
      </c>
      <c r="D167" s="4">
        <f>DAY(G167)</f>
        <v>2</v>
      </c>
      <c r="E167" s="4" t="str">
        <f>TEXT(G167, "mmmm")</f>
        <v>April</v>
      </c>
      <c r="F167" s="4" t="str">
        <f>TEXT(G167, "dddd")</f>
        <v>Sunday</v>
      </c>
      <c r="G167" s="3">
        <v>45018</v>
      </c>
      <c r="H167" s="4" t="s">
        <v>193</v>
      </c>
      <c r="I167" s="4" t="s">
        <v>16</v>
      </c>
      <c r="J167" s="4">
        <v>34</v>
      </c>
      <c r="K167" s="4" t="str" cm="1">
        <f t="array" ref="K167">_xlfn.IFS(J167&lt;30, "Young Adult", J167&lt;50, "Adult", J167&gt;=50, "Senior")</f>
        <v>Adult</v>
      </c>
      <c r="L167" s="4" t="s">
        <v>21</v>
      </c>
      <c r="M167" s="4">
        <v>4</v>
      </c>
      <c r="N167" s="5">
        <v>500</v>
      </c>
      <c r="O167">
        <f>M167*N167</f>
        <v>2000</v>
      </c>
      <c r="P167" s="14">
        <f>O167*$S$3</f>
        <v>30</v>
      </c>
    </row>
    <row r="168" spans="1:16">
      <c r="A168" s="2">
        <v>167</v>
      </c>
      <c r="B168" s="4">
        <f>YEAR(G168)</f>
        <v>2023</v>
      </c>
      <c r="C168" s="4">
        <f>MONTH(G168)</f>
        <v>9</v>
      </c>
      <c r="D168" s="4">
        <f>DAY(G168)</f>
        <v>17</v>
      </c>
      <c r="E168" s="4" t="str">
        <f>TEXT(G168, "mmmm")</f>
        <v>September</v>
      </c>
      <c r="F168" s="4" t="str">
        <f>TEXT(G168, "dddd")</f>
        <v>Sunday</v>
      </c>
      <c r="G168" s="3">
        <v>45186</v>
      </c>
      <c r="H168" s="4" t="s">
        <v>194</v>
      </c>
      <c r="I168" s="4" t="s">
        <v>20</v>
      </c>
      <c r="J168" s="4">
        <v>43</v>
      </c>
      <c r="K168" s="4" t="str" cm="1">
        <f t="array" ref="K168">_xlfn.IFS(J168&lt;30, "Young Adult", J168&lt;50, "Adult", J168&gt;=50, "Senior")</f>
        <v>Adult</v>
      </c>
      <c r="L168" s="4" t="s">
        <v>21</v>
      </c>
      <c r="M168" s="4">
        <v>3</v>
      </c>
      <c r="N168" s="5">
        <v>50</v>
      </c>
      <c r="O168">
        <f>M168*N168</f>
        <v>150</v>
      </c>
      <c r="P168" s="14">
        <f>O168*$S$3</f>
        <v>2.25</v>
      </c>
    </row>
    <row r="169" spans="1:16">
      <c r="A169" s="2">
        <v>168</v>
      </c>
      <c r="B169" s="4">
        <f>YEAR(G169)</f>
        <v>2023</v>
      </c>
      <c r="C169" s="4">
        <f>MONTH(G169)</f>
        <v>2</v>
      </c>
      <c r="D169" s="4">
        <f>DAY(G169)</f>
        <v>24</v>
      </c>
      <c r="E169" s="4" t="str">
        <f>TEXT(G169, "mmmm")</f>
        <v>February</v>
      </c>
      <c r="F169" s="4" t="str">
        <f>TEXT(G169, "dddd")</f>
        <v>Friday</v>
      </c>
      <c r="G169" s="3">
        <v>44981</v>
      </c>
      <c r="H169" s="4" t="s">
        <v>195</v>
      </c>
      <c r="I169" s="4" t="s">
        <v>16</v>
      </c>
      <c r="J169" s="4">
        <v>53</v>
      </c>
      <c r="K169" s="4" t="str" cm="1">
        <f t="array" ref="K169">_xlfn.IFS(J169&lt;30, "Young Adult", J169&lt;50, "Adult", J169&gt;=50, "Senior")</f>
        <v>Senior</v>
      </c>
      <c r="L169" s="4" t="s">
        <v>21</v>
      </c>
      <c r="M169" s="4">
        <v>1</v>
      </c>
      <c r="N169" s="5">
        <v>300</v>
      </c>
      <c r="O169">
        <f>M169*N169</f>
        <v>300</v>
      </c>
      <c r="P169" s="14">
        <f>O169*$S$3</f>
        <v>4.5</v>
      </c>
    </row>
    <row r="170" spans="1:16">
      <c r="A170" s="2">
        <v>169</v>
      </c>
      <c r="B170" s="4">
        <f>YEAR(G170)</f>
        <v>2023</v>
      </c>
      <c r="C170" s="4">
        <f>MONTH(G170)</f>
        <v>11</v>
      </c>
      <c r="D170" s="4">
        <f>DAY(G170)</f>
        <v>17</v>
      </c>
      <c r="E170" s="4" t="str">
        <f>TEXT(G170, "mmmm")</f>
        <v>November</v>
      </c>
      <c r="F170" s="4" t="str">
        <f>TEXT(G170, "dddd")</f>
        <v>Friday</v>
      </c>
      <c r="G170" s="3">
        <v>45247</v>
      </c>
      <c r="H170" s="4" t="s">
        <v>196</v>
      </c>
      <c r="I170" s="4" t="s">
        <v>16</v>
      </c>
      <c r="J170" s="4">
        <v>18</v>
      </c>
      <c r="K170" s="4" t="str" cm="1">
        <f t="array" ref="K170">_xlfn.IFS(J170&lt;30, "Young Adult", J170&lt;50, "Adult", J170&gt;=50, "Senior")</f>
        <v>Young Adult</v>
      </c>
      <c r="L170" s="4" t="s">
        <v>17</v>
      </c>
      <c r="M170" s="4">
        <v>3</v>
      </c>
      <c r="N170" s="5">
        <v>500</v>
      </c>
      <c r="O170">
        <f>M170*N170</f>
        <v>1500</v>
      </c>
      <c r="P170" s="14">
        <f>O170*$S$3</f>
        <v>22.5</v>
      </c>
    </row>
    <row r="171" spans="1:16">
      <c r="A171" s="2">
        <v>170</v>
      </c>
      <c r="B171" s="4">
        <f>YEAR(G171)</f>
        <v>2023</v>
      </c>
      <c r="C171" s="4">
        <f>MONTH(G171)</f>
        <v>6</v>
      </c>
      <c r="D171" s="4">
        <f>DAY(G171)</f>
        <v>2</v>
      </c>
      <c r="E171" s="4" t="str">
        <f>TEXT(G171, "mmmm")</f>
        <v>June</v>
      </c>
      <c r="F171" s="4" t="str">
        <f>TEXT(G171, "dddd")</f>
        <v>Friday</v>
      </c>
      <c r="G171" s="3">
        <v>45079</v>
      </c>
      <c r="H171" s="4" t="s">
        <v>197</v>
      </c>
      <c r="I171" s="4" t="s">
        <v>20</v>
      </c>
      <c r="J171" s="4">
        <v>25</v>
      </c>
      <c r="K171" s="4" t="str" cm="1">
        <f t="array" ref="K171">_xlfn.IFS(J171&lt;30, "Young Adult", J171&lt;50, "Adult", J171&gt;=50, "Senior")</f>
        <v>Young Adult</v>
      </c>
      <c r="L171" s="4" t="s">
        <v>21</v>
      </c>
      <c r="M171" s="4">
        <v>2</v>
      </c>
      <c r="N171" s="5">
        <v>25</v>
      </c>
      <c r="O171">
        <f>M171*N171</f>
        <v>50</v>
      </c>
      <c r="P171" s="14">
        <f>O171*$S$3</f>
        <v>0.75</v>
      </c>
    </row>
    <row r="172" spans="1:16">
      <c r="A172" s="2">
        <v>171</v>
      </c>
      <c r="B172" s="4">
        <f>YEAR(G172)</f>
        <v>2023</v>
      </c>
      <c r="C172" s="4">
        <f>MONTH(G172)</f>
        <v>11</v>
      </c>
      <c r="D172" s="4">
        <f>DAY(G172)</f>
        <v>24</v>
      </c>
      <c r="E172" s="4" t="str">
        <f>TEXT(G172, "mmmm")</f>
        <v>November</v>
      </c>
      <c r="F172" s="4" t="str">
        <f>TEXT(G172, "dddd")</f>
        <v>Friday</v>
      </c>
      <c r="G172" s="3">
        <v>45254</v>
      </c>
      <c r="H172" s="4" t="s">
        <v>198</v>
      </c>
      <c r="I172" s="4" t="s">
        <v>20</v>
      </c>
      <c r="J172" s="4">
        <v>52</v>
      </c>
      <c r="K172" s="4" t="str" cm="1">
        <f t="array" ref="K172">_xlfn.IFS(J172&lt;30, "Young Adult", J172&lt;50, "Adult", J172&gt;=50, "Senior")</f>
        <v>Senior</v>
      </c>
      <c r="L172" s="4" t="s">
        <v>21</v>
      </c>
      <c r="M172" s="4">
        <v>3</v>
      </c>
      <c r="N172" s="5">
        <v>300</v>
      </c>
      <c r="O172">
        <f>M172*N172</f>
        <v>900</v>
      </c>
      <c r="P172" s="14">
        <f>O172*$S$3</f>
        <v>13.5</v>
      </c>
    </row>
    <row r="173" spans="1:16">
      <c r="A173" s="2">
        <v>172</v>
      </c>
      <c r="B173" s="4">
        <f>YEAR(G173)</f>
        <v>2023</v>
      </c>
      <c r="C173" s="4">
        <f>MONTH(G173)</f>
        <v>9</v>
      </c>
      <c r="D173" s="4">
        <f>DAY(G173)</f>
        <v>17</v>
      </c>
      <c r="E173" s="4" t="str">
        <f>TEXT(G173, "mmmm")</f>
        <v>September</v>
      </c>
      <c r="F173" s="4" t="str">
        <f>TEXT(G173, "dddd")</f>
        <v>Sunday</v>
      </c>
      <c r="G173" s="3">
        <v>45186</v>
      </c>
      <c r="H173" s="4" t="s">
        <v>199</v>
      </c>
      <c r="I173" s="4" t="s">
        <v>16</v>
      </c>
      <c r="J173" s="4">
        <v>32</v>
      </c>
      <c r="K173" s="4" t="str" cm="1">
        <f t="array" ref="K173">_xlfn.IFS(J173&lt;30, "Young Adult", J173&lt;50, "Adult", J173&gt;=50, "Senior")</f>
        <v>Adult</v>
      </c>
      <c r="L173" s="4" t="s">
        <v>17</v>
      </c>
      <c r="M173" s="4">
        <v>2</v>
      </c>
      <c r="N173" s="5">
        <v>25</v>
      </c>
      <c r="O173">
        <f>M173*N173</f>
        <v>50</v>
      </c>
      <c r="P173" s="14">
        <f>O173*$S$3</f>
        <v>0.75</v>
      </c>
    </row>
    <row r="174" spans="1:16">
      <c r="A174" s="2">
        <v>173</v>
      </c>
      <c r="B174" s="4">
        <f>YEAR(G174)</f>
        <v>2023</v>
      </c>
      <c r="C174" s="4">
        <f>MONTH(G174)</f>
        <v>11</v>
      </c>
      <c r="D174" s="4">
        <f>DAY(G174)</f>
        <v>8</v>
      </c>
      <c r="E174" s="4" t="str">
        <f>TEXT(G174, "mmmm")</f>
        <v>November</v>
      </c>
      <c r="F174" s="4" t="str">
        <f>TEXT(G174, "dddd")</f>
        <v>Wednesday</v>
      </c>
      <c r="G174" s="3">
        <v>45238</v>
      </c>
      <c r="H174" s="4" t="s">
        <v>200</v>
      </c>
      <c r="I174" s="4" t="s">
        <v>16</v>
      </c>
      <c r="J174" s="4">
        <v>64</v>
      </c>
      <c r="K174" s="4" t="str" cm="1">
        <f t="array" ref="K174">_xlfn.IFS(J174&lt;30, "Young Adult", J174&lt;50, "Adult", J174&gt;=50, "Senior")</f>
        <v>Senior</v>
      </c>
      <c r="L174" s="4" t="s">
        <v>24</v>
      </c>
      <c r="M174" s="4">
        <v>4</v>
      </c>
      <c r="N174" s="5">
        <v>30</v>
      </c>
      <c r="O174">
        <f>M174*N174</f>
        <v>120</v>
      </c>
      <c r="P174" s="14">
        <f>O174*$S$3</f>
        <v>1.7999999999999998</v>
      </c>
    </row>
    <row r="175" spans="1:16">
      <c r="A175" s="2">
        <v>174</v>
      </c>
      <c r="B175" s="4">
        <f>YEAR(G175)</f>
        <v>2023</v>
      </c>
      <c r="C175" s="4">
        <f>MONTH(G175)</f>
        <v>4</v>
      </c>
      <c r="D175" s="4">
        <f>DAY(G175)</f>
        <v>12</v>
      </c>
      <c r="E175" s="4" t="str">
        <f>TEXT(G175, "mmmm")</f>
        <v>April</v>
      </c>
      <c r="F175" s="4" t="str">
        <f>TEXT(G175, "dddd")</f>
        <v>Wednesday</v>
      </c>
      <c r="G175" s="3">
        <v>45028</v>
      </c>
      <c r="H175" s="4" t="s">
        <v>201</v>
      </c>
      <c r="I175" s="4" t="s">
        <v>20</v>
      </c>
      <c r="J175" s="4">
        <v>39</v>
      </c>
      <c r="K175" s="4" t="str" cm="1">
        <f t="array" ref="K175">_xlfn.IFS(J175&lt;30, "Young Adult", J175&lt;50, "Adult", J175&gt;=50, "Senior")</f>
        <v>Adult</v>
      </c>
      <c r="L175" s="4" t="s">
        <v>17</v>
      </c>
      <c r="M175" s="4">
        <v>1</v>
      </c>
      <c r="N175" s="5">
        <v>300</v>
      </c>
      <c r="O175">
        <f>M175*N175</f>
        <v>300</v>
      </c>
      <c r="P175" s="14">
        <f>O175*$S$3</f>
        <v>4.5</v>
      </c>
    </row>
    <row r="176" spans="1:16">
      <c r="A176" s="2">
        <v>175</v>
      </c>
      <c r="B176" s="4">
        <f>YEAR(G176)</f>
        <v>2023</v>
      </c>
      <c r="C176" s="4">
        <f>MONTH(G176)</f>
        <v>3</v>
      </c>
      <c r="D176" s="4">
        <f>DAY(G176)</f>
        <v>20</v>
      </c>
      <c r="E176" s="4" t="str">
        <f>TEXT(G176, "mmmm")</f>
        <v>March</v>
      </c>
      <c r="F176" s="4" t="str">
        <f>TEXT(G176, "dddd")</f>
        <v>Monday</v>
      </c>
      <c r="G176" s="3">
        <v>45005</v>
      </c>
      <c r="H176" s="4" t="s">
        <v>202</v>
      </c>
      <c r="I176" s="4" t="s">
        <v>20</v>
      </c>
      <c r="J176" s="4">
        <v>31</v>
      </c>
      <c r="K176" s="4" t="str" cm="1">
        <f t="array" ref="K176">_xlfn.IFS(J176&lt;30, "Young Adult", J176&lt;50, "Adult", J176&gt;=50, "Senior")</f>
        <v>Adult</v>
      </c>
      <c r="L176" s="4" t="s">
        <v>24</v>
      </c>
      <c r="M176" s="4">
        <v>4</v>
      </c>
      <c r="N176" s="5">
        <v>25</v>
      </c>
      <c r="O176">
        <f>M176*N176</f>
        <v>100</v>
      </c>
      <c r="P176" s="14">
        <f>O176*$S$3</f>
        <v>1.5</v>
      </c>
    </row>
    <row r="177" spans="1:16">
      <c r="A177" s="2">
        <v>176</v>
      </c>
      <c r="B177" s="4">
        <f>YEAR(G177)</f>
        <v>2023</v>
      </c>
      <c r="C177" s="4">
        <f>MONTH(G177)</f>
        <v>7</v>
      </c>
      <c r="D177" s="4">
        <f>DAY(G177)</f>
        <v>11</v>
      </c>
      <c r="E177" s="4" t="str">
        <f>TEXT(G177, "mmmm")</f>
        <v>July</v>
      </c>
      <c r="F177" s="4" t="str">
        <f>TEXT(G177, "dddd")</f>
        <v>Tuesday</v>
      </c>
      <c r="G177" s="3">
        <v>45118</v>
      </c>
      <c r="H177" s="4" t="s">
        <v>203</v>
      </c>
      <c r="I177" s="4" t="s">
        <v>20</v>
      </c>
      <c r="J177" s="4">
        <v>43</v>
      </c>
      <c r="K177" s="4" t="str" cm="1">
        <f t="array" ref="K177">_xlfn.IFS(J177&lt;30, "Young Adult", J177&lt;50, "Adult", J177&gt;=50, "Senior")</f>
        <v>Adult</v>
      </c>
      <c r="L177" s="4" t="s">
        <v>17</v>
      </c>
      <c r="M177" s="4">
        <v>2</v>
      </c>
      <c r="N177" s="5">
        <v>50</v>
      </c>
      <c r="O177">
        <f>M177*N177</f>
        <v>100</v>
      </c>
      <c r="P177" s="14">
        <f>O177*$S$3</f>
        <v>1.5</v>
      </c>
    </row>
    <row r="178" spans="1:16">
      <c r="A178" s="2">
        <v>177</v>
      </c>
      <c r="B178" s="4">
        <f>YEAR(G178)</f>
        <v>2023</v>
      </c>
      <c r="C178" s="4">
        <f>MONTH(G178)</f>
        <v>3</v>
      </c>
      <c r="D178" s="4">
        <f>DAY(G178)</f>
        <v>24</v>
      </c>
      <c r="E178" s="4" t="str">
        <f>TEXT(G178, "mmmm")</f>
        <v>March</v>
      </c>
      <c r="F178" s="4" t="str">
        <f>TEXT(G178, "dddd")</f>
        <v>Friday</v>
      </c>
      <c r="G178" s="3">
        <v>45009</v>
      </c>
      <c r="H178" s="4" t="s">
        <v>204</v>
      </c>
      <c r="I178" s="4" t="s">
        <v>16</v>
      </c>
      <c r="J178" s="4">
        <v>45</v>
      </c>
      <c r="K178" s="4" t="str" cm="1">
        <f t="array" ref="K178">_xlfn.IFS(J178&lt;30, "Young Adult", J178&lt;50, "Adult", J178&gt;=50, "Senior")</f>
        <v>Adult</v>
      </c>
      <c r="L178" s="4" t="s">
        <v>17</v>
      </c>
      <c r="M178" s="4">
        <v>2</v>
      </c>
      <c r="N178" s="5">
        <v>50</v>
      </c>
      <c r="O178">
        <f>M178*N178</f>
        <v>100</v>
      </c>
      <c r="P178" s="14">
        <f>O178*$S$3</f>
        <v>1.5</v>
      </c>
    </row>
    <row r="179" spans="1:16">
      <c r="A179" s="2">
        <v>178</v>
      </c>
      <c r="B179" s="4">
        <f>YEAR(G179)</f>
        <v>2023</v>
      </c>
      <c r="C179" s="4">
        <f>MONTH(G179)</f>
        <v>10</v>
      </c>
      <c r="D179" s="4">
        <f>DAY(G179)</f>
        <v>4</v>
      </c>
      <c r="E179" s="4" t="str">
        <f>TEXT(G179, "mmmm")</f>
        <v>October</v>
      </c>
      <c r="F179" s="4" t="str">
        <f>TEXT(G179, "dddd")</f>
        <v>Wednesday</v>
      </c>
      <c r="G179" s="3">
        <v>45203</v>
      </c>
      <c r="H179" s="4" t="s">
        <v>205</v>
      </c>
      <c r="I179" s="4" t="s">
        <v>16</v>
      </c>
      <c r="J179" s="4">
        <v>40</v>
      </c>
      <c r="K179" s="4" t="str" cm="1">
        <f t="array" ref="K179">_xlfn.IFS(J179&lt;30, "Young Adult", J179&lt;50, "Adult", J179&gt;=50, "Senior")</f>
        <v>Adult</v>
      </c>
      <c r="L179" s="4" t="s">
        <v>21</v>
      </c>
      <c r="M179" s="4">
        <v>2</v>
      </c>
      <c r="N179" s="5">
        <v>30</v>
      </c>
      <c r="O179">
        <f>M179*N179</f>
        <v>60</v>
      </c>
      <c r="P179" s="14">
        <f>O179*$S$3</f>
        <v>0.89999999999999991</v>
      </c>
    </row>
    <row r="180" spans="1:16">
      <c r="A180" s="2">
        <v>179</v>
      </c>
      <c r="B180" s="4">
        <f>YEAR(G180)</f>
        <v>2023</v>
      </c>
      <c r="C180" s="4">
        <f>MONTH(G180)</f>
        <v>9</v>
      </c>
      <c r="D180" s="4">
        <f>DAY(G180)</f>
        <v>29</v>
      </c>
      <c r="E180" s="4" t="str">
        <f>TEXT(G180, "mmmm")</f>
        <v>September</v>
      </c>
      <c r="F180" s="4" t="str">
        <f>TEXT(G180, "dddd")</f>
        <v>Friday</v>
      </c>
      <c r="G180" s="3">
        <v>45198</v>
      </c>
      <c r="H180" s="4" t="s">
        <v>206</v>
      </c>
      <c r="I180" s="4" t="s">
        <v>16</v>
      </c>
      <c r="J180" s="4">
        <v>31</v>
      </c>
      <c r="K180" s="4" t="str" cm="1">
        <f t="array" ref="K180">_xlfn.IFS(J180&lt;30, "Young Adult", J180&lt;50, "Adult", J180&gt;=50, "Senior")</f>
        <v>Adult</v>
      </c>
      <c r="L180" s="4" t="s">
        <v>24</v>
      </c>
      <c r="M180" s="4">
        <v>1</v>
      </c>
      <c r="N180" s="5">
        <v>300</v>
      </c>
      <c r="O180">
        <f>M180*N180</f>
        <v>300</v>
      </c>
      <c r="P180" s="14">
        <f>O180*$S$3</f>
        <v>4.5</v>
      </c>
    </row>
    <row r="181" spans="1:16">
      <c r="A181" s="2">
        <v>180</v>
      </c>
      <c r="B181" s="4">
        <f>YEAR(G181)</f>
        <v>2023</v>
      </c>
      <c r="C181" s="4">
        <f>MONTH(G181)</f>
        <v>1</v>
      </c>
      <c r="D181" s="4">
        <f>DAY(G181)</f>
        <v>1</v>
      </c>
      <c r="E181" s="4" t="str">
        <f>TEXT(G181, "mmmm")</f>
        <v>January</v>
      </c>
      <c r="F181" s="4" t="str">
        <f>TEXT(G181, "dddd")</f>
        <v>Sunday</v>
      </c>
      <c r="G181" s="3">
        <v>44927</v>
      </c>
      <c r="H181" s="4" t="s">
        <v>207</v>
      </c>
      <c r="I181" s="4" t="s">
        <v>16</v>
      </c>
      <c r="J181" s="4">
        <v>41</v>
      </c>
      <c r="K181" s="4" t="str" cm="1">
        <f t="array" ref="K181">_xlfn.IFS(J181&lt;30, "Young Adult", J181&lt;50, "Adult", J181&gt;=50, "Senior")</f>
        <v>Adult</v>
      </c>
      <c r="L181" s="4" t="s">
        <v>21</v>
      </c>
      <c r="M181" s="4">
        <v>3</v>
      </c>
      <c r="N181" s="5">
        <v>300</v>
      </c>
      <c r="O181">
        <f>M181*N181</f>
        <v>900</v>
      </c>
      <c r="P181" s="14">
        <f>O181*$S$3</f>
        <v>13.5</v>
      </c>
    </row>
    <row r="182" spans="1:16">
      <c r="A182" s="2">
        <v>181</v>
      </c>
      <c r="B182" s="4">
        <f>YEAR(G182)</f>
        <v>2023</v>
      </c>
      <c r="C182" s="4">
        <f>MONTH(G182)</f>
        <v>11</v>
      </c>
      <c r="D182" s="4">
        <f>DAY(G182)</f>
        <v>3</v>
      </c>
      <c r="E182" s="4" t="str">
        <f>TEXT(G182, "mmmm")</f>
        <v>November</v>
      </c>
      <c r="F182" s="4" t="str">
        <f>TEXT(G182, "dddd")</f>
        <v>Friday</v>
      </c>
      <c r="G182" s="3">
        <v>45233</v>
      </c>
      <c r="H182" s="4" t="s">
        <v>208</v>
      </c>
      <c r="I182" s="4" t="s">
        <v>16</v>
      </c>
      <c r="J182" s="4">
        <v>19</v>
      </c>
      <c r="K182" s="4" t="str" cm="1">
        <f t="array" ref="K182">_xlfn.IFS(J182&lt;30, "Young Adult", J182&lt;50, "Adult", J182&gt;=50, "Senior")</f>
        <v>Young Adult</v>
      </c>
      <c r="L182" s="4" t="s">
        <v>24</v>
      </c>
      <c r="M182" s="4">
        <v>4</v>
      </c>
      <c r="N182" s="5">
        <v>300</v>
      </c>
      <c r="O182">
        <f>M182*N182</f>
        <v>1200</v>
      </c>
      <c r="P182" s="14">
        <f>O182*$S$3</f>
        <v>18</v>
      </c>
    </row>
    <row r="183" spans="1:16">
      <c r="A183" s="2">
        <v>182</v>
      </c>
      <c r="B183" s="4">
        <f>YEAR(G183)</f>
        <v>2023</v>
      </c>
      <c r="C183" s="4">
        <f>MONTH(G183)</f>
        <v>6</v>
      </c>
      <c r="D183" s="4">
        <f>DAY(G183)</f>
        <v>15</v>
      </c>
      <c r="E183" s="4" t="str">
        <f>TEXT(G183, "mmmm")</f>
        <v>June</v>
      </c>
      <c r="F183" s="4" t="str">
        <f>TEXT(G183, "dddd")</f>
        <v>Thursday</v>
      </c>
      <c r="G183" s="3">
        <v>45092</v>
      </c>
      <c r="H183" s="4" t="s">
        <v>209</v>
      </c>
      <c r="I183" s="4" t="s">
        <v>16</v>
      </c>
      <c r="J183" s="4">
        <v>62</v>
      </c>
      <c r="K183" s="4" t="str" cm="1">
        <f t="array" ref="K183">_xlfn.IFS(J183&lt;30, "Young Adult", J183&lt;50, "Adult", J183&gt;=50, "Senior")</f>
        <v>Senior</v>
      </c>
      <c r="L183" s="4" t="s">
        <v>17</v>
      </c>
      <c r="M183" s="4">
        <v>4</v>
      </c>
      <c r="N183" s="5">
        <v>30</v>
      </c>
      <c r="O183">
        <f>M183*N183</f>
        <v>120</v>
      </c>
      <c r="P183" s="14">
        <f>O183*$S$3</f>
        <v>1.7999999999999998</v>
      </c>
    </row>
    <row r="184" spans="1:16">
      <c r="A184" s="2">
        <v>183</v>
      </c>
      <c r="B184" s="4">
        <f>YEAR(G184)</f>
        <v>2023</v>
      </c>
      <c r="C184" s="4">
        <f>MONTH(G184)</f>
        <v>9</v>
      </c>
      <c r="D184" s="4">
        <f>DAY(G184)</f>
        <v>8</v>
      </c>
      <c r="E184" s="4" t="str">
        <f>TEXT(G184, "mmmm")</f>
        <v>September</v>
      </c>
      <c r="F184" s="4" t="str">
        <f>TEXT(G184, "dddd")</f>
        <v>Friday</v>
      </c>
      <c r="G184" s="3">
        <v>45177</v>
      </c>
      <c r="H184" s="4" t="s">
        <v>210</v>
      </c>
      <c r="I184" s="4" t="s">
        <v>20</v>
      </c>
      <c r="J184" s="4">
        <v>43</v>
      </c>
      <c r="K184" s="4" t="str" cm="1">
        <f t="array" ref="K184">_xlfn.IFS(J184&lt;30, "Young Adult", J184&lt;50, "Adult", J184&gt;=50, "Senior")</f>
        <v>Adult</v>
      </c>
      <c r="L184" s="4" t="s">
        <v>17</v>
      </c>
      <c r="M184" s="4">
        <v>3</v>
      </c>
      <c r="N184" s="5">
        <v>300</v>
      </c>
      <c r="O184">
        <f>M184*N184</f>
        <v>900</v>
      </c>
      <c r="P184" s="14">
        <f>O184*$S$3</f>
        <v>13.5</v>
      </c>
    </row>
    <row r="185" spans="1:16">
      <c r="A185" s="2">
        <v>184</v>
      </c>
      <c r="B185" s="4">
        <f>YEAR(G185)</f>
        <v>2023</v>
      </c>
      <c r="C185" s="4">
        <f>MONTH(G185)</f>
        <v>1</v>
      </c>
      <c r="D185" s="4">
        <f>DAY(G185)</f>
        <v>10</v>
      </c>
      <c r="E185" s="4" t="str">
        <f>TEXT(G185, "mmmm")</f>
        <v>January</v>
      </c>
      <c r="F185" s="4" t="str">
        <f>TEXT(G185, "dddd")</f>
        <v>Tuesday</v>
      </c>
      <c r="G185" s="3">
        <v>44936</v>
      </c>
      <c r="H185" s="4" t="s">
        <v>211</v>
      </c>
      <c r="I185" s="4" t="s">
        <v>16</v>
      </c>
      <c r="J185" s="4">
        <v>31</v>
      </c>
      <c r="K185" s="4" t="str" cm="1">
        <f t="array" ref="K185">_xlfn.IFS(J185&lt;30, "Young Adult", J185&lt;50, "Adult", J185&gt;=50, "Senior")</f>
        <v>Adult</v>
      </c>
      <c r="L185" s="4" t="s">
        <v>24</v>
      </c>
      <c r="M185" s="4">
        <v>4</v>
      </c>
      <c r="N185" s="5">
        <v>50</v>
      </c>
      <c r="O185">
        <f>M185*N185</f>
        <v>200</v>
      </c>
      <c r="P185" s="14">
        <f>O185*$S$3</f>
        <v>3</v>
      </c>
    </row>
    <row r="186" spans="1:16">
      <c r="A186" s="2">
        <v>185</v>
      </c>
      <c r="B186" s="4">
        <f>YEAR(G186)</f>
        <v>2023</v>
      </c>
      <c r="C186" s="4">
        <f>MONTH(G186)</f>
        <v>2</v>
      </c>
      <c r="D186" s="4">
        <f>DAY(G186)</f>
        <v>27</v>
      </c>
      <c r="E186" s="4" t="str">
        <f>TEXT(G186, "mmmm")</f>
        <v>February</v>
      </c>
      <c r="F186" s="4" t="str">
        <f>TEXT(G186, "dddd")</f>
        <v>Monday</v>
      </c>
      <c r="G186" s="3">
        <v>44984</v>
      </c>
      <c r="H186" s="4" t="s">
        <v>212</v>
      </c>
      <c r="I186" s="4" t="s">
        <v>16</v>
      </c>
      <c r="J186" s="4">
        <v>24</v>
      </c>
      <c r="K186" s="4" t="str" cm="1">
        <f t="array" ref="K186">_xlfn.IFS(J186&lt;30, "Young Adult", J186&lt;50, "Adult", J186&gt;=50, "Senior")</f>
        <v>Young Adult</v>
      </c>
      <c r="L186" s="4" t="s">
        <v>21</v>
      </c>
      <c r="M186" s="4">
        <v>1</v>
      </c>
      <c r="N186" s="5">
        <v>25</v>
      </c>
      <c r="O186">
        <f>M186*N186</f>
        <v>25</v>
      </c>
      <c r="P186" s="14">
        <f>O186*$S$3</f>
        <v>0.375</v>
      </c>
    </row>
    <row r="187" spans="1:16">
      <c r="A187" s="2">
        <v>186</v>
      </c>
      <c r="B187" s="4">
        <f>YEAR(G187)</f>
        <v>2023</v>
      </c>
      <c r="C187" s="4">
        <f>MONTH(G187)</f>
        <v>7</v>
      </c>
      <c r="D187" s="4">
        <f>DAY(G187)</f>
        <v>5</v>
      </c>
      <c r="E187" s="4" t="str">
        <f>TEXT(G187, "mmmm")</f>
        <v>July</v>
      </c>
      <c r="F187" s="4" t="str">
        <f>TEXT(G187, "dddd")</f>
        <v>Wednesday</v>
      </c>
      <c r="G187" s="3">
        <v>45112</v>
      </c>
      <c r="H187" s="4" t="s">
        <v>213</v>
      </c>
      <c r="I187" s="4" t="s">
        <v>16</v>
      </c>
      <c r="J187" s="4">
        <v>20</v>
      </c>
      <c r="K187" s="4" t="str" cm="1">
        <f t="array" ref="K187">_xlfn.IFS(J187&lt;30, "Young Adult", J187&lt;50, "Adult", J187&gt;=50, "Senior")</f>
        <v>Young Adult</v>
      </c>
      <c r="L187" s="4" t="s">
        <v>21</v>
      </c>
      <c r="M187" s="4">
        <v>4</v>
      </c>
      <c r="N187" s="5">
        <v>50</v>
      </c>
      <c r="O187">
        <f>M187*N187</f>
        <v>200</v>
      </c>
      <c r="P187" s="14">
        <f>O187*$S$3</f>
        <v>3</v>
      </c>
    </row>
    <row r="188" spans="1:16">
      <c r="A188" s="2">
        <v>187</v>
      </c>
      <c r="B188" s="4">
        <f>YEAR(G188)</f>
        <v>2023</v>
      </c>
      <c r="C188" s="4">
        <f>MONTH(G188)</f>
        <v>6</v>
      </c>
      <c r="D188" s="4">
        <f>DAY(G188)</f>
        <v>7</v>
      </c>
      <c r="E188" s="4" t="str">
        <f>TEXT(G188, "mmmm")</f>
        <v>June</v>
      </c>
      <c r="F188" s="4" t="str">
        <f>TEXT(G188, "dddd")</f>
        <v>Wednesday</v>
      </c>
      <c r="G188" s="3">
        <v>45084</v>
      </c>
      <c r="H188" s="4" t="s">
        <v>214</v>
      </c>
      <c r="I188" s="4" t="s">
        <v>20</v>
      </c>
      <c r="J188" s="4">
        <v>64</v>
      </c>
      <c r="K188" s="4" t="str" cm="1">
        <f t="array" ref="K188">_xlfn.IFS(J188&lt;30, "Young Adult", J188&lt;50, "Adult", J188&gt;=50, "Senior")</f>
        <v>Senior</v>
      </c>
      <c r="L188" s="4" t="s">
        <v>21</v>
      </c>
      <c r="M188" s="4">
        <v>2</v>
      </c>
      <c r="N188" s="5">
        <v>50</v>
      </c>
      <c r="O188">
        <f>M188*N188</f>
        <v>100</v>
      </c>
      <c r="P188" s="14">
        <f>O188*$S$3</f>
        <v>1.5</v>
      </c>
    </row>
    <row r="189" spans="1:16">
      <c r="A189" s="2">
        <v>188</v>
      </c>
      <c r="B189" s="4">
        <f>YEAR(G189)</f>
        <v>2023</v>
      </c>
      <c r="C189" s="4">
        <f>MONTH(G189)</f>
        <v>5</v>
      </c>
      <c r="D189" s="4">
        <f>DAY(G189)</f>
        <v>3</v>
      </c>
      <c r="E189" s="4" t="str">
        <f>TEXT(G189, "mmmm")</f>
        <v>May</v>
      </c>
      <c r="F189" s="4" t="str">
        <f>TEXT(G189, "dddd")</f>
        <v>Wednesday</v>
      </c>
      <c r="G189" s="3">
        <v>45049</v>
      </c>
      <c r="H189" s="4" t="s">
        <v>215</v>
      </c>
      <c r="I189" s="4" t="s">
        <v>16</v>
      </c>
      <c r="J189" s="4">
        <v>40</v>
      </c>
      <c r="K189" s="4" t="str" cm="1">
        <f t="array" ref="K189">_xlfn.IFS(J189&lt;30, "Young Adult", J189&lt;50, "Adult", J189&gt;=50, "Senior")</f>
        <v>Adult</v>
      </c>
      <c r="L189" s="4" t="s">
        <v>21</v>
      </c>
      <c r="M189" s="4">
        <v>3</v>
      </c>
      <c r="N189" s="5">
        <v>25</v>
      </c>
      <c r="O189">
        <f>M189*N189</f>
        <v>75</v>
      </c>
      <c r="P189" s="14">
        <f>O189*$S$3</f>
        <v>1.125</v>
      </c>
    </row>
    <row r="190" spans="1:16">
      <c r="A190" s="2">
        <v>189</v>
      </c>
      <c r="B190" s="4">
        <f>YEAR(G190)</f>
        <v>2023</v>
      </c>
      <c r="C190" s="4">
        <f>MONTH(G190)</f>
        <v>1</v>
      </c>
      <c r="D190" s="4">
        <f>DAY(G190)</f>
        <v>30</v>
      </c>
      <c r="E190" s="4" t="str">
        <f>TEXT(G190, "mmmm")</f>
        <v>January</v>
      </c>
      <c r="F190" s="4" t="str">
        <f>TEXT(G190, "dddd")</f>
        <v>Monday</v>
      </c>
      <c r="G190" s="3">
        <v>44956</v>
      </c>
      <c r="H190" s="4" t="s">
        <v>216</v>
      </c>
      <c r="I190" s="4" t="s">
        <v>16</v>
      </c>
      <c r="J190" s="4">
        <v>63</v>
      </c>
      <c r="K190" s="4" t="str" cm="1">
        <f t="array" ref="K190">_xlfn.IFS(J190&lt;30, "Young Adult", J190&lt;50, "Adult", J190&gt;=50, "Senior")</f>
        <v>Senior</v>
      </c>
      <c r="L190" s="4" t="s">
        <v>17</v>
      </c>
      <c r="M190" s="4">
        <v>1</v>
      </c>
      <c r="N190" s="5">
        <v>50</v>
      </c>
      <c r="O190">
        <f>M190*N190</f>
        <v>50</v>
      </c>
      <c r="P190" s="14">
        <f>O190*$S$3</f>
        <v>0.75</v>
      </c>
    </row>
    <row r="191" spans="1:16">
      <c r="A191" s="2">
        <v>190</v>
      </c>
      <c r="B191" s="4">
        <f>YEAR(G191)</f>
        <v>2023</v>
      </c>
      <c r="C191" s="4">
        <f>MONTH(G191)</f>
        <v>5</v>
      </c>
      <c r="D191" s="4">
        <f>DAY(G191)</f>
        <v>4</v>
      </c>
      <c r="E191" s="4" t="str">
        <f>TEXT(G191, "mmmm")</f>
        <v>May</v>
      </c>
      <c r="F191" s="4" t="str">
        <f>TEXT(G191, "dddd")</f>
        <v>Thursday</v>
      </c>
      <c r="G191" s="3">
        <v>45050</v>
      </c>
      <c r="H191" s="4" t="s">
        <v>217</v>
      </c>
      <c r="I191" s="4" t="s">
        <v>20</v>
      </c>
      <c r="J191" s="4">
        <v>60</v>
      </c>
      <c r="K191" s="4" t="str" cm="1">
        <f t="array" ref="K191">_xlfn.IFS(J191&lt;30, "Young Adult", J191&lt;50, "Adult", J191&gt;=50, "Senior")</f>
        <v>Senior</v>
      </c>
      <c r="L191" s="4" t="s">
        <v>17</v>
      </c>
      <c r="M191" s="4">
        <v>3</v>
      </c>
      <c r="N191" s="5">
        <v>30</v>
      </c>
      <c r="O191">
        <f>M191*N191</f>
        <v>90</v>
      </c>
      <c r="P191" s="14">
        <f>O191*$S$3</f>
        <v>1.3499999999999999</v>
      </c>
    </row>
    <row r="192" spans="1:16">
      <c r="A192" s="2">
        <v>191</v>
      </c>
      <c r="B192" s="4">
        <f>YEAR(G192)</f>
        <v>2023</v>
      </c>
      <c r="C192" s="4">
        <f>MONTH(G192)</f>
        <v>10</v>
      </c>
      <c r="D192" s="4">
        <f>DAY(G192)</f>
        <v>18</v>
      </c>
      <c r="E192" s="4" t="str">
        <f>TEXT(G192, "mmmm")</f>
        <v>October</v>
      </c>
      <c r="F192" s="4" t="str">
        <f>TEXT(G192, "dddd")</f>
        <v>Wednesday</v>
      </c>
      <c r="G192" s="3">
        <v>45217</v>
      </c>
      <c r="H192" s="4" t="s">
        <v>218</v>
      </c>
      <c r="I192" s="4" t="s">
        <v>16</v>
      </c>
      <c r="J192" s="4">
        <v>64</v>
      </c>
      <c r="K192" s="4" t="str" cm="1">
        <f t="array" ref="K192">_xlfn.IFS(J192&lt;30, "Young Adult", J192&lt;50, "Adult", J192&gt;=50, "Senior")</f>
        <v>Senior</v>
      </c>
      <c r="L192" s="4" t="s">
        <v>17</v>
      </c>
      <c r="M192" s="4">
        <v>1</v>
      </c>
      <c r="N192" s="5">
        <v>25</v>
      </c>
      <c r="O192">
        <f>M192*N192</f>
        <v>25</v>
      </c>
      <c r="P192" s="14">
        <f>O192*$S$3</f>
        <v>0.375</v>
      </c>
    </row>
    <row r="193" spans="1:16">
      <c r="A193" s="2">
        <v>192</v>
      </c>
      <c r="B193" s="4">
        <f>YEAR(G193)</f>
        <v>2023</v>
      </c>
      <c r="C193" s="4">
        <f>MONTH(G193)</f>
        <v>2</v>
      </c>
      <c r="D193" s="4">
        <f>DAY(G193)</f>
        <v>10</v>
      </c>
      <c r="E193" s="4" t="str">
        <f>TEXT(G193, "mmmm")</f>
        <v>February</v>
      </c>
      <c r="F193" s="4" t="str">
        <f>TEXT(G193, "dddd")</f>
        <v>Friday</v>
      </c>
      <c r="G193" s="3">
        <v>44967</v>
      </c>
      <c r="H193" s="4" t="s">
        <v>219</v>
      </c>
      <c r="I193" s="4" t="s">
        <v>16</v>
      </c>
      <c r="J193" s="4">
        <v>62</v>
      </c>
      <c r="K193" s="4" t="str" cm="1">
        <f t="array" ref="K193">_xlfn.IFS(J193&lt;30, "Young Adult", J193&lt;50, "Adult", J193&gt;=50, "Senior")</f>
        <v>Senior</v>
      </c>
      <c r="L193" s="4" t="s">
        <v>17</v>
      </c>
      <c r="M193" s="4">
        <v>2</v>
      </c>
      <c r="N193" s="5">
        <v>50</v>
      </c>
      <c r="O193">
        <f>M193*N193</f>
        <v>100</v>
      </c>
      <c r="P193" s="14">
        <f>O193*$S$3</f>
        <v>1.5</v>
      </c>
    </row>
    <row r="194" spans="1:16">
      <c r="A194" s="2">
        <v>193</v>
      </c>
      <c r="B194" s="4">
        <f>YEAR(G194)</f>
        <v>2023</v>
      </c>
      <c r="C194" s="4">
        <f>MONTH(G194)</f>
        <v>2</v>
      </c>
      <c r="D194" s="4">
        <f>DAY(G194)</f>
        <v>13</v>
      </c>
      <c r="E194" s="4" t="str">
        <f>TEXT(G194, "mmmm")</f>
        <v>February</v>
      </c>
      <c r="F194" s="4" t="str">
        <f>TEXT(G194, "dddd")</f>
        <v>Monday</v>
      </c>
      <c r="G194" s="3">
        <v>44970</v>
      </c>
      <c r="H194" s="4" t="s">
        <v>220</v>
      </c>
      <c r="I194" s="4" t="s">
        <v>16</v>
      </c>
      <c r="J194" s="4">
        <v>35</v>
      </c>
      <c r="K194" s="4" t="str" cm="1">
        <f t="array" ref="K194">_xlfn.IFS(J194&lt;30, "Young Adult", J194&lt;50, "Adult", J194&gt;=50, "Senior")</f>
        <v>Adult</v>
      </c>
      <c r="L194" s="4" t="s">
        <v>17</v>
      </c>
      <c r="M194" s="4">
        <v>3</v>
      </c>
      <c r="N194" s="5">
        <v>500</v>
      </c>
      <c r="O194">
        <f>M194*N194</f>
        <v>1500</v>
      </c>
      <c r="P194" s="14">
        <f>O194*$S$3</f>
        <v>22.5</v>
      </c>
    </row>
    <row r="195" spans="1:16">
      <c r="A195" s="2">
        <v>194</v>
      </c>
      <c r="B195" s="4">
        <f>YEAR(G195)</f>
        <v>2023</v>
      </c>
      <c r="C195" s="4">
        <f>MONTH(G195)</f>
        <v>9</v>
      </c>
      <c r="D195" s="4">
        <f>DAY(G195)</f>
        <v>6</v>
      </c>
      <c r="E195" s="4" t="str">
        <f>TEXT(G195, "mmmm")</f>
        <v>September</v>
      </c>
      <c r="F195" s="4" t="str">
        <f>TEXT(G195, "dddd")</f>
        <v>Wednesday</v>
      </c>
      <c r="G195" s="3">
        <v>45175</v>
      </c>
      <c r="H195" s="4" t="s">
        <v>221</v>
      </c>
      <c r="I195" s="4" t="s">
        <v>16</v>
      </c>
      <c r="J195" s="4">
        <v>55</v>
      </c>
      <c r="K195" s="4" t="str" cm="1">
        <f t="array" ref="K195">_xlfn.IFS(J195&lt;30, "Young Adult", J195&lt;50, "Adult", J195&gt;=50, "Senior")</f>
        <v>Senior</v>
      </c>
      <c r="L195" s="4" t="s">
        <v>21</v>
      </c>
      <c r="M195" s="4">
        <v>4</v>
      </c>
      <c r="N195" s="5">
        <v>50</v>
      </c>
      <c r="O195">
        <f>M195*N195</f>
        <v>200</v>
      </c>
      <c r="P195" s="14">
        <f>O195*$S$3</f>
        <v>3</v>
      </c>
    </row>
    <row r="196" spans="1:16">
      <c r="A196" s="2">
        <v>195</v>
      </c>
      <c r="B196" s="4">
        <f>YEAR(G196)</f>
        <v>2023</v>
      </c>
      <c r="C196" s="4">
        <f>MONTH(G196)</f>
        <v>2</v>
      </c>
      <c r="D196" s="4">
        <f>DAY(G196)</f>
        <v>5</v>
      </c>
      <c r="E196" s="4" t="str">
        <f>TEXT(G196, "mmmm")</f>
        <v>February</v>
      </c>
      <c r="F196" s="4" t="str">
        <f>TEXT(G196, "dddd")</f>
        <v>Sunday</v>
      </c>
      <c r="G196" s="3">
        <v>44962</v>
      </c>
      <c r="H196" s="4" t="s">
        <v>222</v>
      </c>
      <c r="I196" s="4" t="s">
        <v>16</v>
      </c>
      <c r="J196" s="4">
        <v>52</v>
      </c>
      <c r="K196" s="4" t="str" cm="1">
        <f t="array" ref="K196">_xlfn.IFS(J196&lt;30, "Young Adult", J196&lt;50, "Adult", J196&gt;=50, "Senior")</f>
        <v>Senior</v>
      </c>
      <c r="L196" s="4" t="s">
        <v>21</v>
      </c>
      <c r="M196" s="4">
        <v>1</v>
      </c>
      <c r="N196" s="5">
        <v>30</v>
      </c>
      <c r="O196">
        <f>M196*N196</f>
        <v>30</v>
      </c>
      <c r="P196" s="14">
        <f>O196*$S$3</f>
        <v>0.44999999999999996</v>
      </c>
    </row>
    <row r="197" spans="1:16">
      <c r="A197" s="2">
        <v>196</v>
      </c>
      <c r="B197" s="4">
        <f>YEAR(G197)</f>
        <v>2023</v>
      </c>
      <c r="C197" s="4">
        <f>MONTH(G197)</f>
        <v>9</v>
      </c>
      <c r="D197" s="4">
        <f>DAY(G197)</f>
        <v>30</v>
      </c>
      <c r="E197" s="4" t="str">
        <f>TEXT(G197, "mmmm")</f>
        <v>September</v>
      </c>
      <c r="F197" s="4" t="str">
        <f>TEXT(G197, "dddd")</f>
        <v>Saturday</v>
      </c>
      <c r="G197" s="3">
        <v>45199</v>
      </c>
      <c r="H197" s="4" t="s">
        <v>223</v>
      </c>
      <c r="I197" s="4" t="s">
        <v>20</v>
      </c>
      <c r="J197" s="4">
        <v>32</v>
      </c>
      <c r="K197" s="4" t="str" cm="1">
        <f t="array" ref="K197">_xlfn.IFS(J197&lt;30, "Young Adult", J197&lt;50, "Adult", J197&gt;=50, "Senior")</f>
        <v>Adult</v>
      </c>
      <c r="L197" s="4" t="s">
        <v>21</v>
      </c>
      <c r="M197" s="4">
        <v>3</v>
      </c>
      <c r="N197" s="5">
        <v>300</v>
      </c>
      <c r="O197">
        <f>M197*N197</f>
        <v>900</v>
      </c>
      <c r="P197" s="14">
        <f>O197*$S$3</f>
        <v>13.5</v>
      </c>
    </row>
    <row r="198" spans="1:16">
      <c r="A198" s="2">
        <v>197</v>
      </c>
      <c r="B198" s="4">
        <f>YEAR(G198)</f>
        <v>2023</v>
      </c>
      <c r="C198" s="4">
        <f>MONTH(G198)</f>
        <v>3</v>
      </c>
      <c r="D198" s="4">
        <f>DAY(G198)</f>
        <v>6</v>
      </c>
      <c r="E198" s="4" t="str">
        <f>TEXT(G198, "mmmm")</f>
        <v>March</v>
      </c>
      <c r="F198" s="4" t="str">
        <f>TEXT(G198, "dddd")</f>
        <v>Monday</v>
      </c>
      <c r="G198" s="3">
        <v>44991</v>
      </c>
      <c r="H198" s="4" t="s">
        <v>224</v>
      </c>
      <c r="I198" s="4" t="s">
        <v>20</v>
      </c>
      <c r="J198" s="4">
        <v>42</v>
      </c>
      <c r="K198" s="4" t="str" cm="1">
        <f t="array" ref="K198">_xlfn.IFS(J198&lt;30, "Young Adult", J198&lt;50, "Adult", J198&gt;=50, "Senior")</f>
        <v>Adult</v>
      </c>
      <c r="L198" s="4" t="s">
        <v>21</v>
      </c>
      <c r="M198" s="4">
        <v>4</v>
      </c>
      <c r="N198" s="5">
        <v>50</v>
      </c>
      <c r="O198">
        <f>M198*N198</f>
        <v>200</v>
      </c>
      <c r="P198" s="14">
        <f>O198*$S$3</f>
        <v>3</v>
      </c>
    </row>
    <row r="199" spans="1:16">
      <c r="A199" s="2">
        <v>198</v>
      </c>
      <c r="B199" s="4">
        <f>YEAR(G199)</f>
        <v>2023</v>
      </c>
      <c r="C199" s="4">
        <f>MONTH(G199)</f>
        <v>3</v>
      </c>
      <c r="D199" s="4">
        <f>DAY(G199)</f>
        <v>7</v>
      </c>
      <c r="E199" s="4" t="str">
        <f>TEXT(G199, "mmmm")</f>
        <v>March</v>
      </c>
      <c r="F199" s="4" t="str">
        <f>TEXT(G199, "dddd")</f>
        <v>Tuesday</v>
      </c>
      <c r="G199" s="3">
        <v>44992</v>
      </c>
      <c r="H199" s="4" t="s">
        <v>225</v>
      </c>
      <c r="I199" s="4" t="s">
        <v>20</v>
      </c>
      <c r="J199" s="4">
        <v>54</v>
      </c>
      <c r="K199" s="4" t="str" cm="1">
        <f t="array" ref="K199">_xlfn.IFS(J199&lt;30, "Young Adult", J199&lt;50, "Adult", J199&gt;=50, "Senior")</f>
        <v>Senior</v>
      </c>
      <c r="L199" s="4" t="s">
        <v>17</v>
      </c>
      <c r="M199" s="4">
        <v>3</v>
      </c>
      <c r="N199" s="5">
        <v>300</v>
      </c>
      <c r="O199">
        <f>M199*N199</f>
        <v>900</v>
      </c>
      <c r="P199" s="14">
        <f>O199*$S$3</f>
        <v>13.5</v>
      </c>
    </row>
    <row r="200" spans="1:16">
      <c r="A200" s="2">
        <v>199</v>
      </c>
      <c r="B200" s="4">
        <f>YEAR(G200)</f>
        <v>2023</v>
      </c>
      <c r="C200" s="4">
        <f>MONTH(G200)</f>
        <v>12</v>
      </c>
      <c r="D200" s="4">
        <f>DAY(G200)</f>
        <v>4</v>
      </c>
      <c r="E200" s="4" t="str">
        <f>TEXT(G200, "mmmm")</f>
        <v>December</v>
      </c>
      <c r="F200" s="4" t="str">
        <f>TEXT(G200, "dddd")</f>
        <v>Monday</v>
      </c>
      <c r="G200" s="3">
        <v>45264</v>
      </c>
      <c r="H200" s="4" t="s">
        <v>226</v>
      </c>
      <c r="I200" s="4" t="s">
        <v>16</v>
      </c>
      <c r="J200" s="4">
        <v>45</v>
      </c>
      <c r="K200" s="4" t="str" cm="1">
        <f t="array" ref="K200">_xlfn.IFS(J200&lt;30, "Young Adult", J200&lt;50, "Adult", J200&gt;=50, "Senior")</f>
        <v>Adult</v>
      </c>
      <c r="L200" s="4" t="s">
        <v>17</v>
      </c>
      <c r="M200" s="4">
        <v>3</v>
      </c>
      <c r="N200" s="5">
        <v>500</v>
      </c>
      <c r="O200">
        <f>M200*N200</f>
        <v>1500</v>
      </c>
      <c r="P200" s="14">
        <f>O200*$S$3</f>
        <v>22.5</v>
      </c>
    </row>
    <row r="201" spans="1:16">
      <c r="A201" s="2">
        <v>200</v>
      </c>
      <c r="B201" s="4">
        <f>YEAR(G201)</f>
        <v>2023</v>
      </c>
      <c r="C201" s="4">
        <f>MONTH(G201)</f>
        <v>9</v>
      </c>
      <c r="D201" s="4">
        <f>DAY(G201)</f>
        <v>1</v>
      </c>
      <c r="E201" s="4" t="str">
        <f>TEXT(G201, "mmmm")</f>
        <v>September</v>
      </c>
      <c r="F201" s="4" t="str">
        <f>TEXT(G201, "dddd")</f>
        <v>Friday</v>
      </c>
      <c r="G201" s="3">
        <v>45170</v>
      </c>
      <c r="H201" s="4" t="s">
        <v>227</v>
      </c>
      <c r="I201" s="4" t="s">
        <v>16</v>
      </c>
      <c r="J201" s="4">
        <v>27</v>
      </c>
      <c r="K201" s="4" t="str" cm="1">
        <f t="array" ref="K201">_xlfn.IFS(J201&lt;30, "Young Adult", J201&lt;50, "Adult", J201&gt;=50, "Senior")</f>
        <v>Young Adult</v>
      </c>
      <c r="L201" s="4" t="s">
        <v>17</v>
      </c>
      <c r="M201" s="4">
        <v>3</v>
      </c>
      <c r="N201" s="5">
        <v>50</v>
      </c>
      <c r="O201">
        <f>M201*N201</f>
        <v>150</v>
      </c>
      <c r="P201" s="14">
        <f>O201*$S$3</f>
        <v>2.25</v>
      </c>
    </row>
    <row r="202" spans="1:16">
      <c r="A202" s="2">
        <v>201</v>
      </c>
      <c r="B202" s="4">
        <f>YEAR(G202)</f>
        <v>2023</v>
      </c>
      <c r="C202" s="4">
        <f>MONTH(G202)</f>
        <v>10</v>
      </c>
      <c r="D202" s="4">
        <f>DAY(G202)</f>
        <v>9</v>
      </c>
      <c r="E202" s="4" t="str">
        <f>TEXT(G202, "mmmm")</f>
        <v>October</v>
      </c>
      <c r="F202" s="4" t="str">
        <f>TEXT(G202, "dddd")</f>
        <v>Monday</v>
      </c>
      <c r="G202" s="3">
        <v>45208</v>
      </c>
      <c r="H202" s="4" t="s">
        <v>228</v>
      </c>
      <c r="I202" s="4" t="s">
        <v>16</v>
      </c>
      <c r="J202" s="4">
        <v>56</v>
      </c>
      <c r="K202" s="4" t="str" cm="1">
        <f t="array" ref="K202">_xlfn.IFS(J202&lt;30, "Young Adult", J202&lt;50, "Adult", J202&gt;=50, "Senior")</f>
        <v>Senior</v>
      </c>
      <c r="L202" s="4" t="s">
        <v>24</v>
      </c>
      <c r="M202" s="4">
        <v>1</v>
      </c>
      <c r="N202" s="5">
        <v>25</v>
      </c>
      <c r="O202">
        <f>M202*N202</f>
        <v>25</v>
      </c>
      <c r="P202" s="14">
        <f>O202*$S$3</f>
        <v>0.375</v>
      </c>
    </row>
    <row r="203" spans="1:16">
      <c r="A203" s="2">
        <v>202</v>
      </c>
      <c r="B203" s="4">
        <f>YEAR(G203)</f>
        <v>2023</v>
      </c>
      <c r="C203" s="4">
        <f>MONTH(G203)</f>
        <v>3</v>
      </c>
      <c r="D203" s="4">
        <f>DAY(G203)</f>
        <v>26</v>
      </c>
      <c r="E203" s="4" t="str">
        <f>TEXT(G203, "mmmm")</f>
        <v>March</v>
      </c>
      <c r="F203" s="4" t="str">
        <f>TEXT(G203, "dddd")</f>
        <v>Sunday</v>
      </c>
      <c r="G203" s="3">
        <v>45011</v>
      </c>
      <c r="H203" s="4" t="s">
        <v>229</v>
      </c>
      <c r="I203" s="4" t="s">
        <v>20</v>
      </c>
      <c r="J203" s="4">
        <v>34</v>
      </c>
      <c r="K203" s="4" t="str" cm="1">
        <f t="array" ref="K203">_xlfn.IFS(J203&lt;30, "Young Adult", J203&lt;50, "Adult", J203&gt;=50, "Senior")</f>
        <v>Adult</v>
      </c>
      <c r="L203" s="4" t="s">
        <v>21</v>
      </c>
      <c r="M203" s="4">
        <v>4</v>
      </c>
      <c r="N203" s="5">
        <v>300</v>
      </c>
      <c r="O203">
        <f>M203*N203</f>
        <v>1200</v>
      </c>
      <c r="P203" s="14">
        <f>O203*$S$3</f>
        <v>18</v>
      </c>
    </row>
    <row r="204" spans="1:16">
      <c r="A204" s="2">
        <v>203</v>
      </c>
      <c r="B204" s="4">
        <f>YEAR(G204)</f>
        <v>2023</v>
      </c>
      <c r="C204" s="4">
        <f>MONTH(G204)</f>
        <v>5</v>
      </c>
      <c r="D204" s="4">
        <f>DAY(G204)</f>
        <v>16</v>
      </c>
      <c r="E204" s="4" t="str">
        <f>TEXT(G204, "mmmm")</f>
        <v>May</v>
      </c>
      <c r="F204" s="4" t="str">
        <f>TEXT(G204, "dddd")</f>
        <v>Tuesday</v>
      </c>
      <c r="G204" s="3">
        <v>45062</v>
      </c>
      <c r="H204" s="4" t="s">
        <v>230</v>
      </c>
      <c r="I204" s="4" t="s">
        <v>16</v>
      </c>
      <c r="J204" s="4">
        <v>56</v>
      </c>
      <c r="K204" s="4" t="str" cm="1">
        <f t="array" ref="K204">_xlfn.IFS(J204&lt;30, "Young Adult", J204&lt;50, "Adult", J204&gt;=50, "Senior")</f>
        <v>Senior</v>
      </c>
      <c r="L204" s="4" t="s">
        <v>21</v>
      </c>
      <c r="M204" s="4">
        <v>2</v>
      </c>
      <c r="N204" s="5">
        <v>500</v>
      </c>
      <c r="O204">
        <f>M204*N204</f>
        <v>1000</v>
      </c>
      <c r="P204" s="14">
        <f>O204*$S$3</f>
        <v>15</v>
      </c>
    </row>
    <row r="205" spans="1:16">
      <c r="A205" s="2">
        <v>204</v>
      </c>
      <c r="B205" s="4">
        <f>YEAR(G205)</f>
        <v>2023</v>
      </c>
      <c r="C205" s="4">
        <f>MONTH(G205)</f>
        <v>9</v>
      </c>
      <c r="D205" s="4">
        <f>DAY(G205)</f>
        <v>28</v>
      </c>
      <c r="E205" s="4" t="str">
        <f>TEXT(G205, "mmmm")</f>
        <v>September</v>
      </c>
      <c r="F205" s="4" t="str">
        <f>TEXT(G205, "dddd")</f>
        <v>Thursday</v>
      </c>
      <c r="G205" s="3">
        <v>45197</v>
      </c>
      <c r="H205" s="4" t="s">
        <v>231</v>
      </c>
      <c r="I205" s="4" t="s">
        <v>16</v>
      </c>
      <c r="J205" s="4">
        <v>39</v>
      </c>
      <c r="K205" s="4" t="str" cm="1">
        <f t="array" ref="K205">_xlfn.IFS(J205&lt;30, "Young Adult", J205&lt;50, "Adult", J205&gt;=50, "Senior")</f>
        <v>Adult</v>
      </c>
      <c r="L205" s="4" t="s">
        <v>17</v>
      </c>
      <c r="M205" s="4">
        <v>1</v>
      </c>
      <c r="N205" s="5">
        <v>25</v>
      </c>
      <c r="O205">
        <f>M205*N205</f>
        <v>25</v>
      </c>
      <c r="P205" s="14">
        <f>O205*$S$3</f>
        <v>0.375</v>
      </c>
    </row>
    <row r="206" spans="1:16">
      <c r="A206" s="2">
        <v>205</v>
      </c>
      <c r="B206" s="4">
        <f>YEAR(G206)</f>
        <v>2023</v>
      </c>
      <c r="C206" s="4">
        <f>MONTH(G206)</f>
        <v>11</v>
      </c>
      <c r="D206" s="4">
        <f>DAY(G206)</f>
        <v>7</v>
      </c>
      <c r="E206" s="4" t="str">
        <f>TEXT(G206, "mmmm")</f>
        <v>November</v>
      </c>
      <c r="F206" s="4" t="str">
        <f>TEXT(G206, "dddd")</f>
        <v>Tuesday</v>
      </c>
      <c r="G206" s="3">
        <v>45237</v>
      </c>
      <c r="H206" s="4" t="s">
        <v>232</v>
      </c>
      <c r="I206" s="4" t="s">
        <v>20</v>
      </c>
      <c r="J206" s="4">
        <v>43</v>
      </c>
      <c r="K206" s="4" t="str" cm="1">
        <f t="array" ref="K206">_xlfn.IFS(J206&lt;30, "Young Adult", J206&lt;50, "Adult", J206&gt;=50, "Senior")</f>
        <v>Adult</v>
      </c>
      <c r="L206" s="4" t="s">
        <v>21</v>
      </c>
      <c r="M206" s="4">
        <v>1</v>
      </c>
      <c r="N206" s="5">
        <v>25</v>
      </c>
      <c r="O206">
        <f>M206*N206</f>
        <v>25</v>
      </c>
      <c r="P206" s="14">
        <f>O206*$S$3</f>
        <v>0.375</v>
      </c>
    </row>
    <row r="207" spans="1:16">
      <c r="A207" s="2">
        <v>206</v>
      </c>
      <c r="B207" s="4">
        <f>YEAR(G207)</f>
        <v>2023</v>
      </c>
      <c r="C207" s="4">
        <f>MONTH(G207)</f>
        <v>8</v>
      </c>
      <c r="D207" s="4">
        <f>DAY(G207)</f>
        <v>5</v>
      </c>
      <c r="E207" s="4" t="str">
        <f>TEXT(G207, "mmmm")</f>
        <v>August</v>
      </c>
      <c r="F207" s="4" t="str">
        <f>TEXT(G207, "dddd")</f>
        <v>Saturday</v>
      </c>
      <c r="G207" s="3">
        <v>45143</v>
      </c>
      <c r="H207" s="4" t="s">
        <v>233</v>
      </c>
      <c r="I207" s="4" t="s">
        <v>16</v>
      </c>
      <c r="J207" s="4">
        <v>61</v>
      </c>
      <c r="K207" s="4" t="str" cm="1">
        <f t="array" ref="K207">_xlfn.IFS(J207&lt;30, "Young Adult", J207&lt;50, "Adult", J207&gt;=50, "Senior")</f>
        <v>Senior</v>
      </c>
      <c r="L207" s="4" t="s">
        <v>21</v>
      </c>
      <c r="M207" s="4">
        <v>1</v>
      </c>
      <c r="N207" s="5">
        <v>25</v>
      </c>
      <c r="O207">
        <f>M207*N207</f>
        <v>25</v>
      </c>
      <c r="P207" s="14">
        <f>O207*$S$3</f>
        <v>0.375</v>
      </c>
    </row>
    <row r="208" spans="1:16">
      <c r="A208" s="2">
        <v>207</v>
      </c>
      <c r="B208" s="4">
        <f>YEAR(G208)</f>
        <v>2023</v>
      </c>
      <c r="C208" s="4">
        <f>MONTH(G208)</f>
        <v>4</v>
      </c>
      <c r="D208" s="4">
        <f>DAY(G208)</f>
        <v>19</v>
      </c>
      <c r="E208" s="4" t="str">
        <f>TEXT(G208, "mmmm")</f>
        <v>April</v>
      </c>
      <c r="F208" s="4" t="str">
        <f>TEXT(G208, "dddd")</f>
        <v>Wednesday</v>
      </c>
      <c r="G208" s="3">
        <v>45035</v>
      </c>
      <c r="H208" s="4" t="s">
        <v>234</v>
      </c>
      <c r="I208" s="4" t="s">
        <v>20</v>
      </c>
      <c r="J208" s="4">
        <v>42</v>
      </c>
      <c r="K208" s="4" t="str" cm="1">
        <f t="array" ref="K208">_xlfn.IFS(J208&lt;30, "Young Adult", J208&lt;50, "Adult", J208&gt;=50, "Senior")</f>
        <v>Adult</v>
      </c>
      <c r="L208" s="4" t="s">
        <v>17</v>
      </c>
      <c r="M208" s="4">
        <v>2</v>
      </c>
      <c r="N208" s="5">
        <v>25</v>
      </c>
      <c r="O208">
        <f>M208*N208</f>
        <v>50</v>
      </c>
      <c r="P208" s="14">
        <f>O208*$S$3</f>
        <v>0.75</v>
      </c>
    </row>
    <row r="209" spans="1:16">
      <c r="A209" s="2">
        <v>208</v>
      </c>
      <c r="B209" s="4">
        <f>YEAR(G209)</f>
        <v>2023</v>
      </c>
      <c r="C209" s="4">
        <f>MONTH(G209)</f>
        <v>10</v>
      </c>
      <c r="D209" s="4">
        <f>DAY(G209)</f>
        <v>4</v>
      </c>
      <c r="E209" s="4" t="str">
        <f>TEXT(G209, "mmmm")</f>
        <v>October</v>
      </c>
      <c r="F209" s="4" t="str">
        <f>TEXT(G209, "dddd")</f>
        <v>Wednesday</v>
      </c>
      <c r="G209" s="3">
        <v>45203</v>
      </c>
      <c r="H209" s="4" t="s">
        <v>235</v>
      </c>
      <c r="I209" s="4" t="s">
        <v>20</v>
      </c>
      <c r="J209" s="4">
        <v>34</v>
      </c>
      <c r="K209" s="4" t="str" cm="1">
        <f t="array" ref="K209">_xlfn.IFS(J209&lt;30, "Young Adult", J209&lt;50, "Adult", J209&gt;=50, "Senior")</f>
        <v>Adult</v>
      </c>
      <c r="L209" s="4" t="s">
        <v>24</v>
      </c>
      <c r="M209" s="4">
        <v>4</v>
      </c>
      <c r="N209" s="5">
        <v>50</v>
      </c>
      <c r="O209">
        <f>M209*N209</f>
        <v>200</v>
      </c>
      <c r="P209" s="14">
        <f>O209*$S$3</f>
        <v>3</v>
      </c>
    </row>
    <row r="210" spans="1:16">
      <c r="A210" s="2">
        <v>209</v>
      </c>
      <c r="B210" s="4">
        <f>YEAR(G210)</f>
        <v>2023</v>
      </c>
      <c r="C210" s="4">
        <f>MONTH(G210)</f>
        <v>12</v>
      </c>
      <c r="D210" s="4">
        <f>DAY(G210)</f>
        <v>20</v>
      </c>
      <c r="E210" s="4" t="str">
        <f>TEXT(G210, "mmmm")</f>
        <v>December</v>
      </c>
      <c r="F210" s="4" t="str">
        <f>TEXT(G210, "dddd")</f>
        <v>Wednesday</v>
      </c>
      <c r="G210" s="3">
        <v>45280</v>
      </c>
      <c r="H210" s="4" t="s">
        <v>236</v>
      </c>
      <c r="I210" s="4" t="s">
        <v>20</v>
      </c>
      <c r="J210" s="4">
        <v>30</v>
      </c>
      <c r="K210" s="4" t="str" cm="1">
        <f t="array" ref="K210">_xlfn.IFS(J210&lt;30, "Young Adult", J210&lt;50, "Adult", J210&gt;=50, "Senior")</f>
        <v>Adult</v>
      </c>
      <c r="L210" s="4" t="s">
        <v>24</v>
      </c>
      <c r="M210" s="4">
        <v>4</v>
      </c>
      <c r="N210" s="5">
        <v>50</v>
      </c>
      <c r="O210">
        <f>M210*N210</f>
        <v>200</v>
      </c>
      <c r="P210" s="14">
        <f>O210*$S$3</f>
        <v>3</v>
      </c>
    </row>
    <row r="211" spans="1:16">
      <c r="A211" s="2">
        <v>210</v>
      </c>
      <c r="B211" s="4">
        <f>YEAR(G211)</f>
        <v>2023</v>
      </c>
      <c r="C211" s="4">
        <f>MONTH(G211)</f>
        <v>4</v>
      </c>
      <c r="D211" s="4">
        <f>DAY(G211)</f>
        <v>13</v>
      </c>
      <c r="E211" s="4" t="str">
        <f>TEXT(G211, "mmmm")</f>
        <v>April</v>
      </c>
      <c r="F211" s="4" t="str">
        <f>TEXT(G211, "dddd")</f>
        <v>Thursday</v>
      </c>
      <c r="G211" s="3">
        <v>45029</v>
      </c>
      <c r="H211" s="4" t="s">
        <v>237</v>
      </c>
      <c r="I211" s="4" t="s">
        <v>16</v>
      </c>
      <c r="J211" s="4">
        <v>37</v>
      </c>
      <c r="K211" s="4" t="str" cm="1">
        <f t="array" ref="K211">_xlfn.IFS(J211&lt;30, "Young Adult", J211&lt;50, "Adult", J211&gt;=50, "Senior")</f>
        <v>Adult</v>
      </c>
      <c r="L211" s="4" t="s">
        <v>24</v>
      </c>
      <c r="M211" s="4">
        <v>4</v>
      </c>
      <c r="N211" s="5">
        <v>50</v>
      </c>
      <c r="O211">
        <f>M211*N211</f>
        <v>200</v>
      </c>
      <c r="P211" s="14">
        <f>O211*$S$3</f>
        <v>3</v>
      </c>
    </row>
    <row r="212" spans="1:16">
      <c r="A212" s="2">
        <v>211</v>
      </c>
      <c r="B212" s="4">
        <f>YEAR(G212)</f>
        <v>2024</v>
      </c>
      <c r="C212" s="4">
        <f>MONTH(G212)</f>
        <v>1</v>
      </c>
      <c r="D212" s="4">
        <f>DAY(G212)</f>
        <v>1</v>
      </c>
      <c r="E212" s="4" t="str">
        <f>TEXT(G212, "mmmm")</f>
        <v>January</v>
      </c>
      <c r="F212" s="4" t="str">
        <f>TEXT(G212, "dddd")</f>
        <v>Monday</v>
      </c>
      <c r="G212" s="3">
        <v>45292</v>
      </c>
      <c r="H212" s="4" t="s">
        <v>238</v>
      </c>
      <c r="I212" s="4" t="s">
        <v>16</v>
      </c>
      <c r="J212" s="4">
        <v>42</v>
      </c>
      <c r="K212" s="4" t="str" cm="1">
        <f t="array" ref="K212">_xlfn.IFS(J212&lt;30, "Young Adult", J212&lt;50, "Adult", J212&gt;=50, "Senior")</f>
        <v>Adult</v>
      </c>
      <c r="L212" s="4" t="s">
        <v>17</v>
      </c>
      <c r="M212" s="4">
        <v>3</v>
      </c>
      <c r="N212" s="5">
        <v>500</v>
      </c>
      <c r="O212">
        <f>M212*N212</f>
        <v>1500</v>
      </c>
      <c r="P212" s="14">
        <f>O212*$S$3</f>
        <v>22.5</v>
      </c>
    </row>
    <row r="213" spans="1:16">
      <c r="A213" s="2">
        <v>212</v>
      </c>
      <c r="B213" s="4">
        <f>YEAR(G213)</f>
        <v>2023</v>
      </c>
      <c r="C213" s="4">
        <f>MONTH(G213)</f>
        <v>6</v>
      </c>
      <c r="D213" s="4">
        <f>DAY(G213)</f>
        <v>9</v>
      </c>
      <c r="E213" s="4" t="str">
        <f>TEXT(G213, "mmmm")</f>
        <v>June</v>
      </c>
      <c r="F213" s="4" t="str">
        <f>TEXT(G213, "dddd")</f>
        <v>Friday</v>
      </c>
      <c r="G213" s="3">
        <v>45086</v>
      </c>
      <c r="H213" s="4" t="s">
        <v>239</v>
      </c>
      <c r="I213" s="4" t="s">
        <v>16</v>
      </c>
      <c r="J213" s="4">
        <v>21</v>
      </c>
      <c r="K213" s="4" t="str" cm="1">
        <f t="array" ref="K213">_xlfn.IFS(J213&lt;30, "Young Adult", J213&lt;50, "Adult", J213&gt;=50, "Senior")</f>
        <v>Young Adult</v>
      </c>
      <c r="L213" s="4" t="s">
        <v>21</v>
      </c>
      <c r="M213" s="4">
        <v>3</v>
      </c>
      <c r="N213" s="5">
        <v>500</v>
      </c>
      <c r="O213">
        <f>M213*N213</f>
        <v>1500</v>
      </c>
      <c r="P213" s="14">
        <f>O213*$S$3</f>
        <v>22.5</v>
      </c>
    </row>
    <row r="214" spans="1:16">
      <c r="A214" s="2">
        <v>213</v>
      </c>
      <c r="B214" s="4">
        <f>YEAR(G214)</f>
        <v>2023</v>
      </c>
      <c r="C214" s="4">
        <f>MONTH(G214)</f>
        <v>7</v>
      </c>
      <c r="D214" s="4">
        <f>DAY(G214)</f>
        <v>24</v>
      </c>
      <c r="E214" s="4" t="str">
        <f>TEXT(G214, "mmmm")</f>
        <v>July</v>
      </c>
      <c r="F214" s="4" t="str">
        <f>TEXT(G214, "dddd")</f>
        <v>Monday</v>
      </c>
      <c r="G214" s="3">
        <v>45131</v>
      </c>
      <c r="H214" s="4" t="s">
        <v>240</v>
      </c>
      <c r="I214" s="4" t="s">
        <v>16</v>
      </c>
      <c r="J214" s="4">
        <v>27</v>
      </c>
      <c r="K214" s="4" t="str" cm="1">
        <f t="array" ref="K214">_xlfn.IFS(J214&lt;30, "Young Adult", J214&lt;50, "Adult", J214&gt;=50, "Senior")</f>
        <v>Young Adult</v>
      </c>
      <c r="L214" s="4" t="s">
        <v>17</v>
      </c>
      <c r="M214" s="4">
        <v>3</v>
      </c>
      <c r="N214" s="5">
        <v>500</v>
      </c>
      <c r="O214">
        <f>M214*N214</f>
        <v>1500</v>
      </c>
      <c r="P214" s="14">
        <f>O214*$S$3</f>
        <v>22.5</v>
      </c>
    </row>
    <row r="215" spans="1:16">
      <c r="A215" s="2">
        <v>214</v>
      </c>
      <c r="B215" s="4">
        <f>YEAR(G215)</f>
        <v>2023</v>
      </c>
      <c r="C215" s="4">
        <f>MONTH(G215)</f>
        <v>12</v>
      </c>
      <c r="D215" s="4">
        <f>DAY(G215)</f>
        <v>10</v>
      </c>
      <c r="E215" s="4" t="str">
        <f>TEXT(G215, "mmmm")</f>
        <v>December</v>
      </c>
      <c r="F215" s="4" t="str">
        <f>TEXT(G215, "dddd")</f>
        <v>Sunday</v>
      </c>
      <c r="G215" s="3">
        <v>45270</v>
      </c>
      <c r="H215" s="4" t="s">
        <v>241</v>
      </c>
      <c r="I215" s="4" t="s">
        <v>16</v>
      </c>
      <c r="J215" s="4">
        <v>20</v>
      </c>
      <c r="K215" s="4" t="str" cm="1">
        <f t="array" ref="K215">_xlfn.IFS(J215&lt;30, "Young Adult", J215&lt;50, "Adult", J215&gt;=50, "Senior")</f>
        <v>Young Adult</v>
      </c>
      <c r="L215" s="4" t="s">
        <v>17</v>
      </c>
      <c r="M215" s="4">
        <v>2</v>
      </c>
      <c r="N215" s="5">
        <v>30</v>
      </c>
      <c r="O215">
        <f>M215*N215</f>
        <v>60</v>
      </c>
      <c r="P215" s="14">
        <f>O215*$S$3</f>
        <v>0.89999999999999991</v>
      </c>
    </row>
    <row r="216" spans="1:16">
      <c r="A216" s="2">
        <v>215</v>
      </c>
      <c r="B216" s="4">
        <f>YEAR(G216)</f>
        <v>2023</v>
      </c>
      <c r="C216" s="4">
        <f>MONTH(G216)</f>
        <v>11</v>
      </c>
      <c r="D216" s="4">
        <f>DAY(G216)</f>
        <v>29</v>
      </c>
      <c r="E216" s="4" t="str">
        <f>TEXT(G216, "mmmm")</f>
        <v>November</v>
      </c>
      <c r="F216" s="4" t="str">
        <f>TEXT(G216, "dddd")</f>
        <v>Wednesday</v>
      </c>
      <c r="G216" s="3">
        <v>45259</v>
      </c>
      <c r="H216" s="4" t="s">
        <v>242</v>
      </c>
      <c r="I216" s="4" t="s">
        <v>16</v>
      </c>
      <c r="J216" s="4">
        <v>58</v>
      </c>
      <c r="K216" s="4" t="str" cm="1">
        <f t="array" ref="K216">_xlfn.IFS(J216&lt;30, "Young Adult", J216&lt;50, "Adult", J216&gt;=50, "Senior")</f>
        <v>Senior</v>
      </c>
      <c r="L216" s="4" t="s">
        <v>21</v>
      </c>
      <c r="M216" s="4">
        <v>3</v>
      </c>
      <c r="N216" s="5">
        <v>500</v>
      </c>
      <c r="O216">
        <f>M216*N216</f>
        <v>1500</v>
      </c>
      <c r="P216" s="14">
        <f>O216*$S$3</f>
        <v>22.5</v>
      </c>
    </row>
    <row r="217" spans="1:16">
      <c r="A217" s="2">
        <v>216</v>
      </c>
      <c r="B217" s="4">
        <f>YEAR(G217)</f>
        <v>2023</v>
      </c>
      <c r="C217" s="4">
        <f>MONTH(G217)</f>
        <v>7</v>
      </c>
      <c r="D217" s="4">
        <f>DAY(G217)</f>
        <v>11</v>
      </c>
      <c r="E217" s="4" t="str">
        <f>TEXT(G217, "mmmm")</f>
        <v>July</v>
      </c>
      <c r="F217" s="4" t="str">
        <f>TEXT(G217, "dddd")</f>
        <v>Tuesday</v>
      </c>
      <c r="G217" s="3">
        <v>45118</v>
      </c>
      <c r="H217" s="4" t="s">
        <v>243</v>
      </c>
      <c r="I217" s="4" t="s">
        <v>16</v>
      </c>
      <c r="J217" s="4">
        <v>62</v>
      </c>
      <c r="K217" s="4" t="str" cm="1">
        <f t="array" ref="K217">_xlfn.IFS(J217&lt;30, "Young Adult", J217&lt;50, "Adult", J217&gt;=50, "Senior")</f>
        <v>Senior</v>
      </c>
      <c r="L217" s="4" t="s">
        <v>24</v>
      </c>
      <c r="M217" s="4">
        <v>2</v>
      </c>
      <c r="N217" s="5">
        <v>50</v>
      </c>
      <c r="O217">
        <f>M217*N217</f>
        <v>100</v>
      </c>
      <c r="P217" s="14">
        <f>O217*$S$3</f>
        <v>1.5</v>
      </c>
    </row>
    <row r="218" spans="1:16">
      <c r="A218" s="2">
        <v>217</v>
      </c>
      <c r="B218" s="4">
        <f>YEAR(G218)</f>
        <v>2023</v>
      </c>
      <c r="C218" s="4">
        <f>MONTH(G218)</f>
        <v>8</v>
      </c>
      <c r="D218" s="4">
        <f>DAY(G218)</f>
        <v>13</v>
      </c>
      <c r="E218" s="4" t="str">
        <f>TEXT(G218, "mmmm")</f>
        <v>August</v>
      </c>
      <c r="F218" s="4" t="str">
        <f>TEXT(G218, "dddd")</f>
        <v>Sunday</v>
      </c>
      <c r="G218" s="3">
        <v>45151</v>
      </c>
      <c r="H218" s="4" t="s">
        <v>244</v>
      </c>
      <c r="I218" s="4" t="s">
        <v>20</v>
      </c>
      <c r="J218" s="4">
        <v>35</v>
      </c>
      <c r="K218" s="4" t="str" cm="1">
        <f t="array" ref="K218">_xlfn.IFS(J218&lt;30, "Young Adult", J218&lt;50, "Adult", J218&gt;=50, "Senior")</f>
        <v>Adult</v>
      </c>
      <c r="L218" s="4" t="s">
        <v>24</v>
      </c>
      <c r="M218" s="4">
        <v>4</v>
      </c>
      <c r="N218" s="5">
        <v>50</v>
      </c>
      <c r="O218">
        <f>M218*N218</f>
        <v>200</v>
      </c>
      <c r="P218" s="14">
        <f>O218*$S$3</f>
        <v>3</v>
      </c>
    </row>
    <row r="219" spans="1:16">
      <c r="A219" s="2">
        <v>218</v>
      </c>
      <c r="B219" s="4">
        <f>YEAR(G219)</f>
        <v>2023</v>
      </c>
      <c r="C219" s="4">
        <f>MONTH(G219)</f>
        <v>9</v>
      </c>
      <c r="D219" s="4">
        <f>DAY(G219)</f>
        <v>22</v>
      </c>
      <c r="E219" s="4" t="str">
        <f>TEXT(G219, "mmmm")</f>
        <v>September</v>
      </c>
      <c r="F219" s="4" t="str">
        <f>TEXT(G219, "dddd")</f>
        <v>Friday</v>
      </c>
      <c r="G219" s="3">
        <v>45191</v>
      </c>
      <c r="H219" s="4" t="s">
        <v>245</v>
      </c>
      <c r="I219" s="4" t="s">
        <v>16</v>
      </c>
      <c r="J219" s="4">
        <v>64</v>
      </c>
      <c r="K219" s="4" t="str" cm="1">
        <f t="array" ref="K219">_xlfn.IFS(J219&lt;30, "Young Adult", J219&lt;50, "Adult", J219&gt;=50, "Senior")</f>
        <v>Senior</v>
      </c>
      <c r="L219" s="4" t="s">
        <v>17</v>
      </c>
      <c r="M219" s="4">
        <v>3</v>
      </c>
      <c r="N219" s="5">
        <v>30</v>
      </c>
      <c r="O219">
        <f>M219*N219</f>
        <v>90</v>
      </c>
      <c r="P219" s="14">
        <f>O219*$S$3</f>
        <v>1.3499999999999999</v>
      </c>
    </row>
    <row r="220" spans="1:16">
      <c r="A220" s="2">
        <v>219</v>
      </c>
      <c r="B220" s="4">
        <f>YEAR(G220)</f>
        <v>2023</v>
      </c>
      <c r="C220" s="4">
        <f>MONTH(G220)</f>
        <v>8</v>
      </c>
      <c r="D220" s="4">
        <f>DAY(G220)</f>
        <v>20</v>
      </c>
      <c r="E220" s="4" t="str">
        <f>TEXT(G220, "mmmm")</f>
        <v>August</v>
      </c>
      <c r="F220" s="4" t="str">
        <f>TEXT(G220, "dddd")</f>
        <v>Sunday</v>
      </c>
      <c r="G220" s="3">
        <v>45158</v>
      </c>
      <c r="H220" s="4" t="s">
        <v>246</v>
      </c>
      <c r="I220" s="4" t="s">
        <v>20</v>
      </c>
      <c r="J220" s="4">
        <v>53</v>
      </c>
      <c r="K220" s="4" t="str" cm="1">
        <f t="array" ref="K220">_xlfn.IFS(J220&lt;30, "Young Adult", J220&lt;50, "Adult", J220&gt;=50, "Senior")</f>
        <v>Senior</v>
      </c>
      <c r="L220" s="4" t="s">
        <v>24</v>
      </c>
      <c r="M220" s="4">
        <v>3</v>
      </c>
      <c r="N220" s="5">
        <v>30</v>
      </c>
      <c r="O220">
        <f>M220*N220</f>
        <v>90</v>
      </c>
      <c r="P220" s="14">
        <f>O220*$S$3</f>
        <v>1.3499999999999999</v>
      </c>
    </row>
    <row r="221" spans="1:16">
      <c r="A221" s="2">
        <v>220</v>
      </c>
      <c r="B221" s="4">
        <f>YEAR(G221)</f>
        <v>2023</v>
      </c>
      <c r="C221" s="4">
        <f>MONTH(G221)</f>
        <v>3</v>
      </c>
      <c r="D221" s="4">
        <f>DAY(G221)</f>
        <v>3</v>
      </c>
      <c r="E221" s="4" t="str">
        <f>TEXT(G221, "mmmm")</f>
        <v>March</v>
      </c>
      <c r="F221" s="4" t="str">
        <f>TEXT(G221, "dddd")</f>
        <v>Friday</v>
      </c>
      <c r="G221" s="3">
        <v>44988</v>
      </c>
      <c r="H221" s="4" t="s">
        <v>247</v>
      </c>
      <c r="I221" s="4" t="s">
        <v>16</v>
      </c>
      <c r="J221" s="4">
        <v>64</v>
      </c>
      <c r="K221" s="4" t="str" cm="1">
        <f t="array" ref="K221">_xlfn.IFS(J221&lt;30, "Young Adult", J221&lt;50, "Adult", J221&gt;=50, "Senior")</f>
        <v>Senior</v>
      </c>
      <c r="L221" s="4" t="s">
        <v>17</v>
      </c>
      <c r="M221" s="4">
        <v>1</v>
      </c>
      <c r="N221" s="5">
        <v>500</v>
      </c>
      <c r="O221">
        <f>M221*N221</f>
        <v>500</v>
      </c>
      <c r="P221" s="14">
        <f>O221*$S$3</f>
        <v>7.5</v>
      </c>
    </row>
    <row r="222" spans="1:16">
      <c r="A222" s="2">
        <v>221</v>
      </c>
      <c r="B222" s="4">
        <f>YEAR(G222)</f>
        <v>2023</v>
      </c>
      <c r="C222" s="4">
        <f>MONTH(G222)</f>
        <v>5</v>
      </c>
      <c r="D222" s="4">
        <f>DAY(G222)</f>
        <v>7</v>
      </c>
      <c r="E222" s="4" t="str">
        <f>TEXT(G222, "mmmm")</f>
        <v>May</v>
      </c>
      <c r="F222" s="4" t="str">
        <f>TEXT(G222, "dddd")</f>
        <v>Sunday</v>
      </c>
      <c r="G222" s="3">
        <v>45053</v>
      </c>
      <c r="H222" s="4" t="s">
        <v>248</v>
      </c>
      <c r="I222" s="4" t="s">
        <v>16</v>
      </c>
      <c r="J222" s="4">
        <v>39</v>
      </c>
      <c r="K222" s="4" t="str" cm="1">
        <f t="array" ref="K222">_xlfn.IFS(J222&lt;30, "Young Adult", J222&lt;50, "Adult", J222&gt;=50, "Senior")</f>
        <v>Adult</v>
      </c>
      <c r="L222" s="4" t="s">
        <v>17</v>
      </c>
      <c r="M222" s="4">
        <v>2</v>
      </c>
      <c r="N222" s="5">
        <v>300</v>
      </c>
      <c r="O222">
        <f>M222*N222</f>
        <v>600</v>
      </c>
      <c r="P222" s="14">
        <f>O222*$S$3</f>
        <v>9</v>
      </c>
    </row>
    <row r="223" spans="1:16">
      <c r="A223" s="2">
        <v>222</v>
      </c>
      <c r="B223" s="4">
        <f>YEAR(G223)</f>
        <v>2023</v>
      </c>
      <c r="C223" s="4">
        <f>MONTH(G223)</f>
        <v>4</v>
      </c>
      <c r="D223" s="4">
        <f>DAY(G223)</f>
        <v>26</v>
      </c>
      <c r="E223" s="4" t="str">
        <f>TEXT(G223, "mmmm")</f>
        <v>April</v>
      </c>
      <c r="F223" s="4" t="str">
        <f>TEXT(G223, "dddd")</f>
        <v>Wednesday</v>
      </c>
      <c r="G223" s="3">
        <v>45042</v>
      </c>
      <c r="H223" s="4" t="s">
        <v>249</v>
      </c>
      <c r="I223" s="4" t="s">
        <v>16</v>
      </c>
      <c r="J223" s="4">
        <v>51</v>
      </c>
      <c r="K223" s="4" t="str" cm="1">
        <f t="array" ref="K223">_xlfn.IFS(J223&lt;30, "Young Adult", J223&lt;50, "Adult", J223&gt;=50, "Senior")</f>
        <v>Senior</v>
      </c>
      <c r="L223" s="4" t="s">
        <v>21</v>
      </c>
      <c r="M223" s="4">
        <v>4</v>
      </c>
      <c r="N223" s="5">
        <v>30</v>
      </c>
      <c r="O223">
        <f>M223*N223</f>
        <v>120</v>
      </c>
      <c r="P223" s="14">
        <f>O223*$S$3</f>
        <v>1.7999999999999998</v>
      </c>
    </row>
    <row r="224" spans="1:16">
      <c r="A224" s="2">
        <v>223</v>
      </c>
      <c r="B224" s="4">
        <f>YEAR(G224)</f>
        <v>2023</v>
      </c>
      <c r="C224" s="4">
        <f>MONTH(G224)</f>
        <v>2</v>
      </c>
      <c r="D224" s="4">
        <f>DAY(G224)</f>
        <v>2</v>
      </c>
      <c r="E224" s="4" t="str">
        <f>TEXT(G224, "mmmm")</f>
        <v>February</v>
      </c>
      <c r="F224" s="4" t="str">
        <f>TEXT(G224, "dddd")</f>
        <v>Thursday</v>
      </c>
      <c r="G224" s="3">
        <v>44959</v>
      </c>
      <c r="H224" s="4" t="s">
        <v>250</v>
      </c>
      <c r="I224" s="4" t="s">
        <v>20</v>
      </c>
      <c r="J224" s="4">
        <v>64</v>
      </c>
      <c r="K224" s="4" t="str" cm="1">
        <f t="array" ref="K224">_xlfn.IFS(J224&lt;30, "Young Adult", J224&lt;50, "Adult", J224&gt;=50, "Senior")</f>
        <v>Senior</v>
      </c>
      <c r="L224" s="4" t="s">
        <v>21</v>
      </c>
      <c r="M224" s="4">
        <v>1</v>
      </c>
      <c r="N224" s="5">
        <v>25</v>
      </c>
      <c r="O224">
        <f>M224*N224</f>
        <v>25</v>
      </c>
      <c r="P224" s="14">
        <f>O224*$S$3</f>
        <v>0.375</v>
      </c>
    </row>
    <row r="225" spans="1:16">
      <c r="A225" s="2">
        <v>224</v>
      </c>
      <c r="B225" s="4">
        <f>YEAR(G225)</f>
        <v>2023</v>
      </c>
      <c r="C225" s="4">
        <f>MONTH(G225)</f>
        <v>6</v>
      </c>
      <c r="D225" s="4">
        <f>DAY(G225)</f>
        <v>23</v>
      </c>
      <c r="E225" s="4" t="str">
        <f>TEXT(G225, "mmmm")</f>
        <v>June</v>
      </c>
      <c r="F225" s="4" t="str">
        <f>TEXT(G225, "dddd")</f>
        <v>Friday</v>
      </c>
      <c r="G225" s="3">
        <v>45100</v>
      </c>
      <c r="H225" s="4" t="s">
        <v>251</v>
      </c>
      <c r="I225" s="4" t="s">
        <v>20</v>
      </c>
      <c r="J225" s="4">
        <v>25</v>
      </c>
      <c r="K225" s="4" t="str" cm="1">
        <f t="array" ref="K225">_xlfn.IFS(J225&lt;30, "Young Adult", J225&lt;50, "Adult", J225&gt;=50, "Senior")</f>
        <v>Young Adult</v>
      </c>
      <c r="L225" s="4" t="s">
        <v>21</v>
      </c>
      <c r="M225" s="4">
        <v>1</v>
      </c>
      <c r="N225" s="5">
        <v>50</v>
      </c>
      <c r="O225">
        <f>M225*N225</f>
        <v>50</v>
      </c>
      <c r="P225" s="14">
        <f>O225*$S$3</f>
        <v>0.75</v>
      </c>
    </row>
    <row r="226" spans="1:16">
      <c r="A226" s="2">
        <v>225</v>
      </c>
      <c r="B226" s="4">
        <f>YEAR(G226)</f>
        <v>2023</v>
      </c>
      <c r="C226" s="4">
        <f>MONTH(G226)</f>
        <v>1</v>
      </c>
      <c r="D226" s="4">
        <f>DAY(G226)</f>
        <v>11</v>
      </c>
      <c r="E226" s="4" t="str">
        <f>TEXT(G226, "mmmm")</f>
        <v>January</v>
      </c>
      <c r="F226" s="4" t="str">
        <f>TEXT(G226, "dddd")</f>
        <v>Wednesday</v>
      </c>
      <c r="G226" s="3">
        <v>44937</v>
      </c>
      <c r="H226" s="4" t="s">
        <v>252</v>
      </c>
      <c r="I226" s="4" t="s">
        <v>20</v>
      </c>
      <c r="J226" s="4">
        <v>57</v>
      </c>
      <c r="K226" s="4" t="str" cm="1">
        <f t="array" ref="K226">_xlfn.IFS(J226&lt;30, "Young Adult", J226&lt;50, "Adult", J226&gt;=50, "Senior")</f>
        <v>Senior</v>
      </c>
      <c r="L226" s="4" t="s">
        <v>17</v>
      </c>
      <c r="M226" s="4">
        <v>4</v>
      </c>
      <c r="N226" s="5">
        <v>25</v>
      </c>
      <c r="O226">
        <f>M226*N226</f>
        <v>100</v>
      </c>
      <c r="P226" s="14">
        <f>O226*$S$3</f>
        <v>1.5</v>
      </c>
    </row>
    <row r="227" spans="1:16">
      <c r="A227" s="2">
        <v>226</v>
      </c>
      <c r="B227" s="4">
        <f>YEAR(G227)</f>
        <v>2023</v>
      </c>
      <c r="C227" s="4">
        <f>MONTH(G227)</f>
        <v>10</v>
      </c>
      <c r="D227" s="4">
        <f>DAY(G227)</f>
        <v>29</v>
      </c>
      <c r="E227" s="4" t="str">
        <f>TEXT(G227, "mmmm")</f>
        <v>October</v>
      </c>
      <c r="F227" s="4" t="str">
        <f>TEXT(G227, "dddd")</f>
        <v>Sunday</v>
      </c>
      <c r="G227" s="3">
        <v>45228</v>
      </c>
      <c r="H227" s="4" t="s">
        <v>253</v>
      </c>
      <c r="I227" s="4" t="s">
        <v>20</v>
      </c>
      <c r="J227" s="4">
        <v>61</v>
      </c>
      <c r="K227" s="4" t="str" cm="1">
        <f t="array" ref="K227">_xlfn.IFS(J227&lt;30, "Young Adult", J227&lt;50, "Adult", J227&gt;=50, "Senior")</f>
        <v>Senior</v>
      </c>
      <c r="L227" s="4" t="s">
        <v>21</v>
      </c>
      <c r="M227" s="4">
        <v>1</v>
      </c>
      <c r="N227" s="5">
        <v>50</v>
      </c>
      <c r="O227">
        <f>M227*N227</f>
        <v>50</v>
      </c>
      <c r="P227" s="14">
        <f>O227*$S$3</f>
        <v>0.75</v>
      </c>
    </row>
    <row r="228" spans="1:16">
      <c r="A228" s="2">
        <v>227</v>
      </c>
      <c r="B228" s="4">
        <f>YEAR(G228)</f>
        <v>2023</v>
      </c>
      <c r="C228" s="4">
        <f>MONTH(G228)</f>
        <v>10</v>
      </c>
      <c r="D228" s="4">
        <f>DAY(G228)</f>
        <v>11</v>
      </c>
      <c r="E228" s="4" t="str">
        <f>TEXT(G228, "mmmm")</f>
        <v>October</v>
      </c>
      <c r="F228" s="4" t="str">
        <f>TEXT(G228, "dddd")</f>
        <v>Wednesday</v>
      </c>
      <c r="G228" s="3">
        <v>45210</v>
      </c>
      <c r="H228" s="4" t="s">
        <v>254</v>
      </c>
      <c r="I228" s="4" t="s">
        <v>16</v>
      </c>
      <c r="J228" s="4">
        <v>36</v>
      </c>
      <c r="K228" s="4" t="str" cm="1">
        <f t="array" ref="K228">_xlfn.IFS(J228&lt;30, "Young Adult", J228&lt;50, "Adult", J228&gt;=50, "Senior")</f>
        <v>Adult</v>
      </c>
      <c r="L228" s="4" t="s">
        <v>24</v>
      </c>
      <c r="M228" s="4">
        <v>2</v>
      </c>
      <c r="N228" s="5">
        <v>50</v>
      </c>
      <c r="O228">
        <f>M228*N228</f>
        <v>100</v>
      </c>
      <c r="P228" s="14">
        <f>O228*$S$3</f>
        <v>1.5</v>
      </c>
    </row>
    <row r="229" spans="1:16">
      <c r="A229" s="2">
        <v>228</v>
      </c>
      <c r="B229" s="4">
        <f>YEAR(G229)</f>
        <v>2023</v>
      </c>
      <c r="C229" s="4">
        <f>MONTH(G229)</f>
        <v>4</v>
      </c>
      <c r="D229" s="4">
        <f>DAY(G229)</f>
        <v>28</v>
      </c>
      <c r="E229" s="4" t="str">
        <f>TEXT(G229, "mmmm")</f>
        <v>April</v>
      </c>
      <c r="F229" s="4" t="str">
        <f>TEXT(G229, "dddd")</f>
        <v>Friday</v>
      </c>
      <c r="G229" s="3">
        <v>45044</v>
      </c>
      <c r="H229" s="4" t="s">
        <v>255</v>
      </c>
      <c r="I229" s="4" t="s">
        <v>20</v>
      </c>
      <c r="J229" s="4">
        <v>59</v>
      </c>
      <c r="K229" s="4" t="str" cm="1">
        <f t="array" ref="K229">_xlfn.IFS(J229&lt;30, "Young Adult", J229&lt;50, "Adult", J229&gt;=50, "Senior")</f>
        <v>Senior</v>
      </c>
      <c r="L229" s="4" t="s">
        <v>24</v>
      </c>
      <c r="M229" s="4">
        <v>2</v>
      </c>
      <c r="N229" s="5">
        <v>30</v>
      </c>
      <c r="O229">
        <f>M229*N229</f>
        <v>60</v>
      </c>
      <c r="P229" s="14">
        <f>O229*$S$3</f>
        <v>0.89999999999999991</v>
      </c>
    </row>
    <row r="230" spans="1:16">
      <c r="A230" s="2">
        <v>229</v>
      </c>
      <c r="B230" s="4">
        <f>YEAR(G230)</f>
        <v>2023</v>
      </c>
      <c r="C230" s="4">
        <f>MONTH(G230)</f>
        <v>10</v>
      </c>
      <c r="D230" s="4">
        <f>DAY(G230)</f>
        <v>29</v>
      </c>
      <c r="E230" s="4" t="str">
        <f>TEXT(G230, "mmmm")</f>
        <v>October</v>
      </c>
      <c r="F230" s="4" t="str">
        <f>TEXT(G230, "dddd")</f>
        <v>Sunday</v>
      </c>
      <c r="G230" s="3">
        <v>45228</v>
      </c>
      <c r="H230" s="4" t="s">
        <v>256</v>
      </c>
      <c r="I230" s="4" t="s">
        <v>16</v>
      </c>
      <c r="J230" s="4">
        <v>58</v>
      </c>
      <c r="K230" s="4" t="str" cm="1">
        <f t="array" ref="K230">_xlfn.IFS(J230&lt;30, "Young Adult", J230&lt;50, "Adult", J230&gt;=50, "Senior")</f>
        <v>Senior</v>
      </c>
      <c r="L230" s="4" t="s">
        <v>17</v>
      </c>
      <c r="M230" s="4">
        <v>3</v>
      </c>
      <c r="N230" s="5">
        <v>30</v>
      </c>
      <c r="O230">
        <f>M230*N230</f>
        <v>90</v>
      </c>
      <c r="P230" s="14">
        <f>O230*$S$3</f>
        <v>1.3499999999999999</v>
      </c>
    </row>
    <row r="231" spans="1:16">
      <c r="A231" s="2">
        <v>230</v>
      </c>
      <c r="B231" s="4">
        <f>YEAR(G231)</f>
        <v>2023</v>
      </c>
      <c r="C231" s="4">
        <f>MONTH(G231)</f>
        <v>4</v>
      </c>
      <c r="D231" s="4">
        <f>DAY(G231)</f>
        <v>23</v>
      </c>
      <c r="E231" s="4" t="str">
        <f>TEXT(G231, "mmmm")</f>
        <v>April</v>
      </c>
      <c r="F231" s="4" t="str">
        <f>TEXT(G231, "dddd")</f>
        <v>Sunday</v>
      </c>
      <c r="G231" s="3">
        <v>45039</v>
      </c>
      <c r="H231" s="4" t="s">
        <v>257</v>
      </c>
      <c r="I231" s="4" t="s">
        <v>16</v>
      </c>
      <c r="J231" s="4">
        <v>54</v>
      </c>
      <c r="K231" s="4" t="str" cm="1">
        <f t="array" ref="K231">_xlfn.IFS(J231&lt;30, "Young Adult", J231&lt;50, "Adult", J231&gt;=50, "Senior")</f>
        <v>Senior</v>
      </c>
      <c r="L231" s="4" t="s">
        <v>17</v>
      </c>
      <c r="M231" s="4">
        <v>1</v>
      </c>
      <c r="N231" s="5">
        <v>25</v>
      </c>
      <c r="O231">
        <f>M231*N231</f>
        <v>25</v>
      </c>
      <c r="P231" s="14">
        <f>O231*$S$3</f>
        <v>0.375</v>
      </c>
    </row>
    <row r="232" spans="1:16">
      <c r="A232" s="2">
        <v>231</v>
      </c>
      <c r="B232" s="4">
        <f>YEAR(G232)</f>
        <v>2023</v>
      </c>
      <c r="C232" s="4">
        <f>MONTH(G232)</f>
        <v>1</v>
      </c>
      <c r="D232" s="4">
        <f>DAY(G232)</f>
        <v>4</v>
      </c>
      <c r="E232" s="4" t="str">
        <f>TEXT(G232, "mmmm")</f>
        <v>January</v>
      </c>
      <c r="F232" s="4" t="str">
        <f>TEXT(G232, "dddd")</f>
        <v>Wednesday</v>
      </c>
      <c r="G232" s="3">
        <v>44930</v>
      </c>
      <c r="H232" s="4" t="s">
        <v>258</v>
      </c>
      <c r="I232" s="4" t="s">
        <v>20</v>
      </c>
      <c r="J232" s="4">
        <v>23</v>
      </c>
      <c r="K232" s="4" t="str" cm="1">
        <f t="array" ref="K232">_xlfn.IFS(J232&lt;30, "Young Adult", J232&lt;50, "Adult", J232&gt;=50, "Senior")</f>
        <v>Young Adult</v>
      </c>
      <c r="L232" s="4" t="s">
        <v>21</v>
      </c>
      <c r="M232" s="4">
        <v>3</v>
      </c>
      <c r="N232" s="5">
        <v>50</v>
      </c>
      <c r="O232">
        <f>M232*N232</f>
        <v>150</v>
      </c>
      <c r="P232" s="14">
        <f>O232*$S$3</f>
        <v>2.25</v>
      </c>
    </row>
    <row r="233" spans="1:16">
      <c r="A233" s="2">
        <v>232</v>
      </c>
      <c r="B233" s="4">
        <f>YEAR(G233)</f>
        <v>2023</v>
      </c>
      <c r="C233" s="4">
        <f>MONTH(G233)</f>
        <v>2</v>
      </c>
      <c r="D233" s="4">
        <f>DAY(G233)</f>
        <v>6</v>
      </c>
      <c r="E233" s="4" t="str">
        <f>TEXT(G233, "mmmm")</f>
        <v>February</v>
      </c>
      <c r="F233" s="4" t="str">
        <f>TEXT(G233, "dddd")</f>
        <v>Monday</v>
      </c>
      <c r="G233" s="3">
        <v>44963</v>
      </c>
      <c r="H233" s="4" t="s">
        <v>259</v>
      </c>
      <c r="I233" s="4" t="s">
        <v>20</v>
      </c>
      <c r="J233" s="4">
        <v>43</v>
      </c>
      <c r="K233" s="4" t="str" cm="1">
        <f t="array" ref="K233">_xlfn.IFS(J233&lt;30, "Young Adult", J233&lt;50, "Adult", J233&gt;=50, "Senior")</f>
        <v>Adult</v>
      </c>
      <c r="L233" s="4" t="s">
        <v>17</v>
      </c>
      <c r="M233" s="4">
        <v>1</v>
      </c>
      <c r="N233" s="5">
        <v>25</v>
      </c>
      <c r="O233">
        <f>M233*N233</f>
        <v>25</v>
      </c>
      <c r="P233" s="14">
        <f>O233*$S$3</f>
        <v>0.375</v>
      </c>
    </row>
    <row r="234" spans="1:16">
      <c r="A234" s="2">
        <v>233</v>
      </c>
      <c r="B234" s="4">
        <f>YEAR(G234)</f>
        <v>2023</v>
      </c>
      <c r="C234" s="4">
        <f>MONTH(G234)</f>
        <v>12</v>
      </c>
      <c r="D234" s="4">
        <f>DAY(G234)</f>
        <v>29</v>
      </c>
      <c r="E234" s="4" t="str">
        <f>TEXT(G234, "mmmm")</f>
        <v>December</v>
      </c>
      <c r="F234" s="4" t="str">
        <f>TEXT(G234, "dddd")</f>
        <v>Friday</v>
      </c>
      <c r="G234" s="3">
        <v>45289</v>
      </c>
      <c r="H234" s="4" t="s">
        <v>260</v>
      </c>
      <c r="I234" s="4" t="s">
        <v>20</v>
      </c>
      <c r="J234" s="4">
        <v>51</v>
      </c>
      <c r="K234" s="4" t="str" cm="1">
        <f t="array" ref="K234">_xlfn.IFS(J234&lt;30, "Young Adult", J234&lt;50, "Adult", J234&gt;=50, "Senior")</f>
        <v>Senior</v>
      </c>
      <c r="L234" s="4" t="s">
        <v>17</v>
      </c>
      <c r="M234" s="4">
        <v>2</v>
      </c>
      <c r="N234" s="5">
        <v>300</v>
      </c>
      <c r="O234">
        <f>M234*N234</f>
        <v>600</v>
      </c>
      <c r="P234" s="14">
        <f>O234*$S$3</f>
        <v>9</v>
      </c>
    </row>
    <row r="235" spans="1:16">
      <c r="A235" s="2">
        <v>234</v>
      </c>
      <c r="B235" s="4">
        <f>YEAR(G235)</f>
        <v>2023</v>
      </c>
      <c r="C235" s="4">
        <f>MONTH(G235)</f>
        <v>11</v>
      </c>
      <c r="D235" s="4">
        <f>DAY(G235)</f>
        <v>20</v>
      </c>
      <c r="E235" s="4" t="str">
        <f>TEXT(G235, "mmmm")</f>
        <v>November</v>
      </c>
      <c r="F235" s="4" t="str">
        <f>TEXT(G235, "dddd")</f>
        <v>Monday</v>
      </c>
      <c r="G235" s="3">
        <v>45250</v>
      </c>
      <c r="H235" s="4" t="s">
        <v>261</v>
      </c>
      <c r="I235" s="4" t="s">
        <v>20</v>
      </c>
      <c r="J235" s="4">
        <v>62</v>
      </c>
      <c r="K235" s="4" t="str" cm="1">
        <f t="array" ref="K235">_xlfn.IFS(J235&lt;30, "Young Adult", J235&lt;50, "Adult", J235&gt;=50, "Senior")</f>
        <v>Senior</v>
      </c>
      <c r="L235" s="4" t="s">
        <v>24</v>
      </c>
      <c r="M235" s="4">
        <v>2</v>
      </c>
      <c r="N235" s="5">
        <v>25</v>
      </c>
      <c r="O235">
        <f>M235*N235</f>
        <v>50</v>
      </c>
      <c r="P235" s="14">
        <f>O235*$S$3</f>
        <v>0.75</v>
      </c>
    </row>
    <row r="236" spans="1:16">
      <c r="A236" s="2">
        <v>235</v>
      </c>
      <c r="B236" s="4">
        <f>YEAR(G236)</f>
        <v>2023</v>
      </c>
      <c r="C236" s="4">
        <f>MONTH(G236)</f>
        <v>1</v>
      </c>
      <c r="D236" s="4">
        <f>DAY(G236)</f>
        <v>31</v>
      </c>
      <c r="E236" s="4" t="str">
        <f>TEXT(G236, "mmmm")</f>
        <v>January</v>
      </c>
      <c r="F236" s="4" t="str">
        <f>TEXT(G236, "dddd")</f>
        <v>Tuesday</v>
      </c>
      <c r="G236" s="3">
        <v>44957</v>
      </c>
      <c r="H236" s="4" t="s">
        <v>262</v>
      </c>
      <c r="I236" s="4" t="s">
        <v>20</v>
      </c>
      <c r="J236" s="4">
        <v>23</v>
      </c>
      <c r="K236" s="4" t="str" cm="1">
        <f t="array" ref="K236">_xlfn.IFS(J236&lt;30, "Young Adult", J236&lt;50, "Adult", J236&gt;=50, "Senior")</f>
        <v>Young Adult</v>
      </c>
      <c r="L236" s="4" t="s">
        <v>24</v>
      </c>
      <c r="M236" s="4">
        <v>2</v>
      </c>
      <c r="N236" s="5">
        <v>500</v>
      </c>
      <c r="O236">
        <f>M236*N236</f>
        <v>1000</v>
      </c>
      <c r="P236" s="14">
        <f>O236*$S$3</f>
        <v>15</v>
      </c>
    </row>
    <row r="237" spans="1:16">
      <c r="A237" s="2">
        <v>236</v>
      </c>
      <c r="B237" s="4">
        <f>YEAR(G237)</f>
        <v>2023</v>
      </c>
      <c r="C237" s="4">
        <f>MONTH(G237)</f>
        <v>4</v>
      </c>
      <c r="D237" s="4">
        <f>DAY(G237)</f>
        <v>28</v>
      </c>
      <c r="E237" s="4" t="str">
        <f>TEXT(G237, "mmmm")</f>
        <v>April</v>
      </c>
      <c r="F237" s="4" t="str">
        <f>TEXT(G237, "dddd")</f>
        <v>Friday</v>
      </c>
      <c r="G237" s="3">
        <v>45044</v>
      </c>
      <c r="H237" s="4" t="s">
        <v>263</v>
      </c>
      <c r="I237" s="4" t="s">
        <v>20</v>
      </c>
      <c r="J237" s="4">
        <v>54</v>
      </c>
      <c r="K237" s="4" t="str" cm="1">
        <f t="array" ref="K237">_xlfn.IFS(J237&lt;30, "Young Adult", J237&lt;50, "Adult", J237&gt;=50, "Senior")</f>
        <v>Senior</v>
      </c>
      <c r="L237" s="4" t="s">
        <v>21</v>
      </c>
      <c r="M237" s="4">
        <v>1</v>
      </c>
      <c r="N237" s="5">
        <v>25</v>
      </c>
      <c r="O237">
        <f>M237*N237</f>
        <v>25</v>
      </c>
      <c r="P237" s="14">
        <f>O237*$S$3</f>
        <v>0.375</v>
      </c>
    </row>
    <row r="238" spans="1:16">
      <c r="A238" s="2">
        <v>237</v>
      </c>
      <c r="B238" s="4">
        <f>YEAR(G238)</f>
        <v>2023</v>
      </c>
      <c r="C238" s="4">
        <f>MONTH(G238)</f>
        <v>2</v>
      </c>
      <c r="D238" s="4">
        <f>DAY(G238)</f>
        <v>4</v>
      </c>
      <c r="E238" s="4" t="str">
        <f>TEXT(G238, "mmmm")</f>
        <v>February</v>
      </c>
      <c r="F238" s="4" t="str">
        <f>TEXT(G238, "dddd")</f>
        <v>Saturday</v>
      </c>
      <c r="G238" s="3">
        <v>44961</v>
      </c>
      <c r="H238" s="4" t="s">
        <v>264</v>
      </c>
      <c r="I238" s="4" t="s">
        <v>20</v>
      </c>
      <c r="J238" s="4">
        <v>50</v>
      </c>
      <c r="K238" s="4" t="str" cm="1">
        <f t="array" ref="K238">_xlfn.IFS(J238&lt;30, "Young Adult", J238&lt;50, "Adult", J238&gt;=50, "Senior")</f>
        <v>Senior</v>
      </c>
      <c r="L238" s="4" t="s">
        <v>17</v>
      </c>
      <c r="M238" s="4">
        <v>2</v>
      </c>
      <c r="N238" s="5">
        <v>500</v>
      </c>
      <c r="O238">
        <f>M238*N238</f>
        <v>1000</v>
      </c>
      <c r="P238" s="14">
        <f>O238*$S$3</f>
        <v>15</v>
      </c>
    </row>
    <row r="239" spans="1:16">
      <c r="A239" s="2">
        <v>238</v>
      </c>
      <c r="B239" s="4">
        <f>YEAR(G239)</f>
        <v>2023</v>
      </c>
      <c r="C239" s="4">
        <f>MONTH(G239)</f>
        <v>1</v>
      </c>
      <c r="D239" s="4">
        <f>DAY(G239)</f>
        <v>17</v>
      </c>
      <c r="E239" s="4" t="str">
        <f>TEXT(G239, "mmmm")</f>
        <v>January</v>
      </c>
      <c r="F239" s="4" t="str">
        <f>TEXT(G239, "dddd")</f>
        <v>Tuesday</v>
      </c>
      <c r="G239" s="3">
        <v>44943</v>
      </c>
      <c r="H239" s="4" t="s">
        <v>265</v>
      </c>
      <c r="I239" s="4" t="s">
        <v>20</v>
      </c>
      <c r="J239" s="4">
        <v>39</v>
      </c>
      <c r="K239" s="4" t="str" cm="1">
        <f t="array" ref="K239">_xlfn.IFS(J239&lt;30, "Young Adult", J239&lt;50, "Adult", J239&gt;=50, "Senior")</f>
        <v>Adult</v>
      </c>
      <c r="L239" s="4" t="s">
        <v>17</v>
      </c>
      <c r="M239" s="4">
        <v>1</v>
      </c>
      <c r="N239" s="5">
        <v>500</v>
      </c>
      <c r="O239">
        <f>M239*N239</f>
        <v>500</v>
      </c>
      <c r="P239" s="14">
        <f>O239*$S$3</f>
        <v>7.5</v>
      </c>
    </row>
    <row r="240" spans="1:16">
      <c r="A240" s="2">
        <v>239</v>
      </c>
      <c r="B240" s="4">
        <f>YEAR(G240)</f>
        <v>2023</v>
      </c>
      <c r="C240" s="4">
        <f>MONTH(G240)</f>
        <v>6</v>
      </c>
      <c r="D240" s="4">
        <f>DAY(G240)</f>
        <v>19</v>
      </c>
      <c r="E240" s="4" t="str">
        <f>TEXT(G240, "mmmm")</f>
        <v>June</v>
      </c>
      <c r="F240" s="4" t="str">
        <f>TEXT(G240, "dddd")</f>
        <v>Monday</v>
      </c>
      <c r="G240" s="3">
        <v>45096</v>
      </c>
      <c r="H240" s="4" t="s">
        <v>266</v>
      </c>
      <c r="I240" s="4" t="s">
        <v>16</v>
      </c>
      <c r="J240" s="4">
        <v>38</v>
      </c>
      <c r="K240" s="4" t="str" cm="1">
        <f t="array" ref="K240">_xlfn.IFS(J240&lt;30, "Young Adult", J240&lt;50, "Adult", J240&gt;=50, "Senior")</f>
        <v>Adult</v>
      </c>
      <c r="L240" s="4" t="s">
        <v>24</v>
      </c>
      <c r="M240" s="4">
        <v>3</v>
      </c>
      <c r="N240" s="5">
        <v>500</v>
      </c>
      <c r="O240">
        <f>M240*N240</f>
        <v>1500</v>
      </c>
      <c r="P240" s="14">
        <f>O240*$S$3</f>
        <v>22.5</v>
      </c>
    </row>
    <row r="241" spans="1:16">
      <c r="A241" s="2">
        <v>240</v>
      </c>
      <c r="B241" s="4">
        <f>YEAR(G241)</f>
        <v>2023</v>
      </c>
      <c r="C241" s="4">
        <f>MONTH(G241)</f>
        <v>2</v>
      </c>
      <c r="D241" s="4">
        <f>DAY(G241)</f>
        <v>6</v>
      </c>
      <c r="E241" s="4" t="str">
        <f>TEXT(G241, "mmmm")</f>
        <v>February</v>
      </c>
      <c r="F241" s="4" t="str">
        <f>TEXT(G241, "dddd")</f>
        <v>Monday</v>
      </c>
      <c r="G241" s="3">
        <v>44963</v>
      </c>
      <c r="H241" s="4" t="s">
        <v>267</v>
      </c>
      <c r="I241" s="4" t="s">
        <v>20</v>
      </c>
      <c r="J241" s="4">
        <v>23</v>
      </c>
      <c r="K241" s="4" t="str" cm="1">
        <f t="array" ref="K241">_xlfn.IFS(J241&lt;30, "Young Adult", J241&lt;50, "Adult", J241&gt;=50, "Senior")</f>
        <v>Young Adult</v>
      </c>
      <c r="L241" s="4" t="s">
        <v>17</v>
      </c>
      <c r="M241" s="4">
        <v>1</v>
      </c>
      <c r="N241" s="5">
        <v>300</v>
      </c>
      <c r="O241">
        <f>M241*N241</f>
        <v>300</v>
      </c>
      <c r="P241" s="14">
        <f>O241*$S$3</f>
        <v>4.5</v>
      </c>
    </row>
    <row r="242" spans="1:16">
      <c r="A242" s="2">
        <v>241</v>
      </c>
      <c r="B242" s="4">
        <f>YEAR(G242)</f>
        <v>2023</v>
      </c>
      <c r="C242" s="4">
        <f>MONTH(G242)</f>
        <v>9</v>
      </c>
      <c r="D242" s="4">
        <f>DAY(G242)</f>
        <v>21</v>
      </c>
      <c r="E242" s="4" t="str">
        <f>TEXT(G242, "mmmm")</f>
        <v>September</v>
      </c>
      <c r="F242" s="4" t="str">
        <f>TEXT(G242, "dddd")</f>
        <v>Thursday</v>
      </c>
      <c r="G242" s="3">
        <v>45190</v>
      </c>
      <c r="H242" s="4" t="s">
        <v>268</v>
      </c>
      <c r="I242" s="4" t="s">
        <v>20</v>
      </c>
      <c r="J242" s="4">
        <v>23</v>
      </c>
      <c r="K242" s="4" t="str" cm="1">
        <f t="array" ref="K242">_xlfn.IFS(J242&lt;30, "Young Adult", J242&lt;50, "Adult", J242&gt;=50, "Senior")</f>
        <v>Young Adult</v>
      </c>
      <c r="L242" s="4" t="s">
        <v>24</v>
      </c>
      <c r="M242" s="4">
        <v>3</v>
      </c>
      <c r="N242" s="5">
        <v>25</v>
      </c>
      <c r="O242">
        <f>M242*N242</f>
        <v>75</v>
      </c>
      <c r="P242" s="14">
        <f>O242*$S$3</f>
        <v>1.125</v>
      </c>
    </row>
    <row r="243" spans="1:16">
      <c r="A243" s="2">
        <v>242</v>
      </c>
      <c r="B243" s="4">
        <f>YEAR(G243)</f>
        <v>2023</v>
      </c>
      <c r="C243" s="4">
        <f>MONTH(G243)</f>
        <v>5</v>
      </c>
      <c r="D243" s="4">
        <f>DAY(G243)</f>
        <v>2</v>
      </c>
      <c r="E243" s="4" t="str">
        <f>TEXT(G243, "mmmm")</f>
        <v>May</v>
      </c>
      <c r="F243" s="4" t="str">
        <f>TEXT(G243, "dddd")</f>
        <v>Tuesday</v>
      </c>
      <c r="G243" s="3">
        <v>45048</v>
      </c>
      <c r="H243" s="4" t="s">
        <v>269</v>
      </c>
      <c r="I243" s="4" t="s">
        <v>16</v>
      </c>
      <c r="J243" s="4">
        <v>21</v>
      </c>
      <c r="K243" s="4" t="str" cm="1">
        <f t="array" ref="K243">_xlfn.IFS(J243&lt;30, "Young Adult", J243&lt;50, "Adult", J243&gt;=50, "Senior")</f>
        <v>Young Adult</v>
      </c>
      <c r="L243" s="4" t="s">
        <v>21</v>
      </c>
      <c r="M243" s="4">
        <v>1</v>
      </c>
      <c r="N243" s="5">
        <v>25</v>
      </c>
      <c r="O243">
        <f>M243*N243</f>
        <v>25</v>
      </c>
      <c r="P243" s="14">
        <f>O243*$S$3</f>
        <v>0.375</v>
      </c>
    </row>
    <row r="244" spans="1:16">
      <c r="A244" s="2">
        <v>243</v>
      </c>
      <c r="B244" s="4">
        <f>YEAR(G244)</f>
        <v>2023</v>
      </c>
      <c r="C244" s="4">
        <f>MONTH(G244)</f>
        <v>5</v>
      </c>
      <c r="D244" s="4">
        <f>DAY(G244)</f>
        <v>23</v>
      </c>
      <c r="E244" s="4" t="str">
        <f>TEXT(G244, "mmmm")</f>
        <v>May</v>
      </c>
      <c r="F244" s="4" t="str">
        <f>TEXT(G244, "dddd")</f>
        <v>Tuesday</v>
      </c>
      <c r="G244" s="3">
        <v>45069</v>
      </c>
      <c r="H244" s="4" t="s">
        <v>270</v>
      </c>
      <c r="I244" s="4" t="s">
        <v>20</v>
      </c>
      <c r="J244" s="4">
        <v>47</v>
      </c>
      <c r="K244" s="4" t="str" cm="1">
        <f t="array" ref="K244">_xlfn.IFS(J244&lt;30, "Young Adult", J244&lt;50, "Adult", J244&gt;=50, "Senior")</f>
        <v>Adult</v>
      </c>
      <c r="L244" s="4" t="s">
        <v>24</v>
      </c>
      <c r="M244" s="4">
        <v>3</v>
      </c>
      <c r="N244" s="5">
        <v>300</v>
      </c>
      <c r="O244">
        <f>M244*N244</f>
        <v>900</v>
      </c>
      <c r="P244" s="14">
        <f>O244*$S$3</f>
        <v>13.5</v>
      </c>
    </row>
    <row r="245" spans="1:16">
      <c r="A245" s="2">
        <v>244</v>
      </c>
      <c r="B245" s="4">
        <f>YEAR(G245)</f>
        <v>2023</v>
      </c>
      <c r="C245" s="4">
        <f>MONTH(G245)</f>
        <v>12</v>
      </c>
      <c r="D245" s="4">
        <f>DAY(G245)</f>
        <v>9</v>
      </c>
      <c r="E245" s="4" t="str">
        <f>TEXT(G245, "mmmm")</f>
        <v>December</v>
      </c>
      <c r="F245" s="4" t="str">
        <f>TEXT(G245, "dddd")</f>
        <v>Saturday</v>
      </c>
      <c r="G245" s="3">
        <v>45269</v>
      </c>
      <c r="H245" s="4" t="s">
        <v>271</v>
      </c>
      <c r="I245" s="4" t="s">
        <v>16</v>
      </c>
      <c r="J245" s="4">
        <v>28</v>
      </c>
      <c r="K245" s="4" t="str" cm="1">
        <f t="array" ref="K245">_xlfn.IFS(J245&lt;30, "Young Adult", J245&lt;50, "Adult", J245&gt;=50, "Senior")</f>
        <v>Young Adult</v>
      </c>
      <c r="L245" s="4" t="s">
        <v>17</v>
      </c>
      <c r="M245" s="4">
        <v>2</v>
      </c>
      <c r="N245" s="5">
        <v>50</v>
      </c>
      <c r="O245">
        <f>M245*N245</f>
        <v>100</v>
      </c>
      <c r="P245" s="14">
        <f>O245*$S$3</f>
        <v>1.5</v>
      </c>
    </row>
    <row r="246" spans="1:16">
      <c r="A246" s="2">
        <v>245</v>
      </c>
      <c r="B246" s="4">
        <f>YEAR(G246)</f>
        <v>2023</v>
      </c>
      <c r="C246" s="4">
        <f>MONTH(G246)</f>
        <v>9</v>
      </c>
      <c r="D246" s="4">
        <f>DAY(G246)</f>
        <v>6</v>
      </c>
      <c r="E246" s="4" t="str">
        <f>TEXT(G246, "mmmm")</f>
        <v>September</v>
      </c>
      <c r="F246" s="4" t="str">
        <f>TEXT(G246, "dddd")</f>
        <v>Wednesday</v>
      </c>
      <c r="G246" s="3">
        <v>45175</v>
      </c>
      <c r="H246" s="4" t="s">
        <v>272</v>
      </c>
      <c r="I246" s="4" t="s">
        <v>16</v>
      </c>
      <c r="J246" s="4">
        <v>47</v>
      </c>
      <c r="K246" s="4" t="str" cm="1">
        <f t="array" ref="K246">_xlfn.IFS(J246&lt;30, "Young Adult", J246&lt;50, "Adult", J246&gt;=50, "Senior")</f>
        <v>Adult</v>
      </c>
      <c r="L246" s="4" t="s">
        <v>21</v>
      </c>
      <c r="M246" s="4">
        <v>3</v>
      </c>
      <c r="N246" s="5">
        <v>30</v>
      </c>
      <c r="O246">
        <f>M246*N246</f>
        <v>90</v>
      </c>
      <c r="P246" s="14">
        <f>O246*$S$3</f>
        <v>1.3499999999999999</v>
      </c>
    </row>
    <row r="247" spans="1:16">
      <c r="A247" s="2">
        <v>246</v>
      </c>
      <c r="B247" s="4">
        <f>YEAR(G247)</f>
        <v>2023</v>
      </c>
      <c r="C247" s="4">
        <f>MONTH(G247)</f>
        <v>4</v>
      </c>
      <c r="D247" s="4">
        <f>DAY(G247)</f>
        <v>20</v>
      </c>
      <c r="E247" s="4" t="str">
        <f>TEXT(G247, "mmmm")</f>
        <v>April</v>
      </c>
      <c r="F247" s="4" t="str">
        <f>TEXT(G247, "dddd")</f>
        <v>Thursday</v>
      </c>
      <c r="G247" s="3">
        <v>45036</v>
      </c>
      <c r="H247" s="4" t="s">
        <v>273</v>
      </c>
      <c r="I247" s="4" t="s">
        <v>20</v>
      </c>
      <c r="J247" s="4">
        <v>48</v>
      </c>
      <c r="K247" s="4" t="str" cm="1">
        <f t="array" ref="K247">_xlfn.IFS(J247&lt;30, "Young Adult", J247&lt;50, "Adult", J247&gt;=50, "Senior")</f>
        <v>Adult</v>
      </c>
      <c r="L247" s="4" t="s">
        <v>24</v>
      </c>
      <c r="M247" s="4">
        <v>2</v>
      </c>
      <c r="N247" s="5">
        <v>25</v>
      </c>
      <c r="O247">
        <f>M247*N247</f>
        <v>50</v>
      </c>
      <c r="P247" s="14">
        <f>O247*$S$3</f>
        <v>0.75</v>
      </c>
    </row>
    <row r="248" spans="1:16">
      <c r="A248" s="2">
        <v>247</v>
      </c>
      <c r="B248" s="4">
        <f>YEAR(G248)</f>
        <v>2023</v>
      </c>
      <c r="C248" s="4">
        <f>MONTH(G248)</f>
        <v>10</v>
      </c>
      <c r="D248" s="4">
        <f>DAY(G248)</f>
        <v>4</v>
      </c>
      <c r="E248" s="4" t="str">
        <f>TEXT(G248, "mmmm")</f>
        <v>October</v>
      </c>
      <c r="F248" s="4" t="str">
        <f>TEXT(G248, "dddd")</f>
        <v>Wednesday</v>
      </c>
      <c r="G248" s="3">
        <v>45203</v>
      </c>
      <c r="H248" s="4" t="s">
        <v>274</v>
      </c>
      <c r="I248" s="4" t="s">
        <v>16</v>
      </c>
      <c r="J248" s="4">
        <v>41</v>
      </c>
      <c r="K248" s="4" t="str" cm="1">
        <f t="array" ref="K248">_xlfn.IFS(J248&lt;30, "Young Adult", J248&lt;50, "Adult", J248&gt;=50, "Senior")</f>
        <v>Adult</v>
      </c>
      <c r="L248" s="4" t="s">
        <v>24</v>
      </c>
      <c r="M248" s="4">
        <v>2</v>
      </c>
      <c r="N248" s="5">
        <v>30</v>
      </c>
      <c r="O248">
        <f>M248*N248</f>
        <v>60</v>
      </c>
      <c r="P248" s="14">
        <f>O248*$S$3</f>
        <v>0.89999999999999991</v>
      </c>
    </row>
    <row r="249" spans="1:16">
      <c r="A249" s="2">
        <v>248</v>
      </c>
      <c r="B249" s="4">
        <f>YEAR(G249)</f>
        <v>2023</v>
      </c>
      <c r="C249" s="4">
        <f>MONTH(G249)</f>
        <v>3</v>
      </c>
      <c r="D249" s="4">
        <f>DAY(G249)</f>
        <v>9</v>
      </c>
      <c r="E249" s="4" t="str">
        <f>TEXT(G249, "mmmm")</f>
        <v>March</v>
      </c>
      <c r="F249" s="4" t="str">
        <f>TEXT(G249, "dddd")</f>
        <v>Thursday</v>
      </c>
      <c r="G249" s="3">
        <v>44994</v>
      </c>
      <c r="H249" s="4" t="s">
        <v>275</v>
      </c>
      <c r="I249" s="4" t="s">
        <v>16</v>
      </c>
      <c r="J249" s="4">
        <v>26</v>
      </c>
      <c r="K249" s="4" t="str" cm="1">
        <f t="array" ref="K249">_xlfn.IFS(J249&lt;30, "Young Adult", J249&lt;50, "Adult", J249&gt;=50, "Senior")</f>
        <v>Young Adult</v>
      </c>
      <c r="L249" s="4" t="s">
        <v>21</v>
      </c>
      <c r="M249" s="4">
        <v>3</v>
      </c>
      <c r="N249" s="5">
        <v>300</v>
      </c>
      <c r="O249">
        <f>M249*N249</f>
        <v>900</v>
      </c>
      <c r="P249" s="14">
        <f>O249*$S$3</f>
        <v>13.5</v>
      </c>
    </row>
    <row r="250" spans="1:16">
      <c r="A250" s="2">
        <v>249</v>
      </c>
      <c r="B250" s="4">
        <f>YEAR(G250)</f>
        <v>2023</v>
      </c>
      <c r="C250" s="4">
        <f>MONTH(G250)</f>
        <v>10</v>
      </c>
      <c r="D250" s="4">
        <f>DAY(G250)</f>
        <v>20</v>
      </c>
      <c r="E250" s="4" t="str">
        <f>TEXT(G250, "mmmm")</f>
        <v>October</v>
      </c>
      <c r="F250" s="4" t="str">
        <f>TEXT(G250, "dddd")</f>
        <v>Friday</v>
      </c>
      <c r="G250" s="3">
        <v>45219</v>
      </c>
      <c r="H250" s="4" t="s">
        <v>276</v>
      </c>
      <c r="I250" s="4" t="s">
        <v>16</v>
      </c>
      <c r="J250" s="4">
        <v>20</v>
      </c>
      <c r="K250" s="4" t="str" cm="1">
        <f t="array" ref="K250">_xlfn.IFS(J250&lt;30, "Young Adult", J250&lt;50, "Adult", J250&gt;=50, "Senior")</f>
        <v>Young Adult</v>
      </c>
      <c r="L250" s="4" t="s">
        <v>21</v>
      </c>
      <c r="M250" s="4">
        <v>1</v>
      </c>
      <c r="N250" s="5">
        <v>50</v>
      </c>
      <c r="O250">
        <f>M250*N250</f>
        <v>50</v>
      </c>
      <c r="P250" s="14">
        <f>O250*$S$3</f>
        <v>0.75</v>
      </c>
    </row>
    <row r="251" spans="1:16">
      <c r="A251" s="2">
        <v>250</v>
      </c>
      <c r="B251" s="4">
        <f>YEAR(G251)</f>
        <v>2023</v>
      </c>
      <c r="C251" s="4">
        <f>MONTH(G251)</f>
        <v>10</v>
      </c>
      <c r="D251" s="4">
        <f>DAY(G251)</f>
        <v>23</v>
      </c>
      <c r="E251" s="4" t="str">
        <f>TEXT(G251, "mmmm")</f>
        <v>October</v>
      </c>
      <c r="F251" s="4" t="str">
        <f>TEXT(G251, "dddd")</f>
        <v>Monday</v>
      </c>
      <c r="G251" s="3">
        <v>45222</v>
      </c>
      <c r="H251" s="4" t="s">
        <v>277</v>
      </c>
      <c r="I251" s="4" t="s">
        <v>16</v>
      </c>
      <c r="J251" s="4">
        <v>48</v>
      </c>
      <c r="K251" s="4" t="str" cm="1">
        <f t="array" ref="K251">_xlfn.IFS(J251&lt;30, "Young Adult", J251&lt;50, "Adult", J251&gt;=50, "Senior")</f>
        <v>Adult</v>
      </c>
      <c r="L251" s="4" t="s">
        <v>24</v>
      </c>
      <c r="M251" s="4">
        <v>1</v>
      </c>
      <c r="N251" s="5">
        <v>50</v>
      </c>
      <c r="O251">
        <f>M251*N251</f>
        <v>50</v>
      </c>
      <c r="P251" s="14">
        <f>O251*$S$3</f>
        <v>0.75</v>
      </c>
    </row>
    <row r="252" spans="1:16">
      <c r="A252" s="2">
        <v>251</v>
      </c>
      <c r="B252" s="4">
        <f>YEAR(G252)</f>
        <v>2023</v>
      </c>
      <c r="C252" s="4">
        <f>MONTH(G252)</f>
        <v>8</v>
      </c>
      <c r="D252" s="4">
        <f>DAY(G252)</f>
        <v>31</v>
      </c>
      <c r="E252" s="4" t="str">
        <f>TEXT(G252, "mmmm")</f>
        <v>August</v>
      </c>
      <c r="F252" s="4" t="str">
        <f>TEXT(G252, "dddd")</f>
        <v>Thursday</v>
      </c>
      <c r="G252" s="3">
        <v>45169</v>
      </c>
      <c r="H252" s="4" t="s">
        <v>278</v>
      </c>
      <c r="I252" s="4" t="s">
        <v>20</v>
      </c>
      <c r="J252" s="4">
        <v>57</v>
      </c>
      <c r="K252" s="4" t="str" cm="1">
        <f t="array" ref="K252">_xlfn.IFS(J252&lt;30, "Young Adult", J252&lt;50, "Adult", J252&gt;=50, "Senior")</f>
        <v>Senior</v>
      </c>
      <c r="L252" s="4" t="s">
        <v>17</v>
      </c>
      <c r="M252" s="4">
        <v>4</v>
      </c>
      <c r="N252" s="5">
        <v>50</v>
      </c>
      <c r="O252">
        <f>M252*N252</f>
        <v>200</v>
      </c>
      <c r="P252" s="14">
        <f>O252*$S$3</f>
        <v>3</v>
      </c>
    </row>
    <row r="253" spans="1:16">
      <c r="A253" s="2">
        <v>252</v>
      </c>
      <c r="B253" s="4">
        <f>YEAR(G253)</f>
        <v>2023</v>
      </c>
      <c r="C253" s="4">
        <f>MONTH(G253)</f>
        <v>5</v>
      </c>
      <c r="D253" s="4">
        <f>DAY(G253)</f>
        <v>5</v>
      </c>
      <c r="E253" s="4" t="str">
        <f>TEXT(G253, "mmmm")</f>
        <v>May</v>
      </c>
      <c r="F253" s="4" t="str">
        <f>TEXT(G253, "dddd")</f>
        <v>Friday</v>
      </c>
      <c r="G253" s="3">
        <v>45051</v>
      </c>
      <c r="H253" s="4" t="s">
        <v>279</v>
      </c>
      <c r="I253" s="4" t="s">
        <v>16</v>
      </c>
      <c r="J253" s="4">
        <v>54</v>
      </c>
      <c r="K253" s="4" t="str" cm="1">
        <f t="array" ref="K253">_xlfn.IFS(J253&lt;30, "Young Adult", J253&lt;50, "Adult", J253&gt;=50, "Senior")</f>
        <v>Senior</v>
      </c>
      <c r="L253" s="4" t="s">
        <v>24</v>
      </c>
      <c r="M253" s="4">
        <v>1</v>
      </c>
      <c r="N253" s="5">
        <v>300</v>
      </c>
      <c r="O253">
        <f>M253*N253</f>
        <v>300</v>
      </c>
      <c r="P253" s="14">
        <f>O253*$S$3</f>
        <v>4.5</v>
      </c>
    </row>
    <row r="254" spans="1:16">
      <c r="A254" s="2">
        <v>253</v>
      </c>
      <c r="B254" s="4">
        <f>YEAR(G254)</f>
        <v>2023</v>
      </c>
      <c r="C254" s="4">
        <f>MONTH(G254)</f>
        <v>8</v>
      </c>
      <c r="D254" s="4">
        <f>DAY(G254)</f>
        <v>31</v>
      </c>
      <c r="E254" s="4" t="str">
        <f>TEXT(G254, "mmmm")</f>
        <v>August</v>
      </c>
      <c r="F254" s="4" t="str">
        <f>TEXT(G254, "dddd")</f>
        <v>Thursday</v>
      </c>
      <c r="G254" s="3">
        <v>45169</v>
      </c>
      <c r="H254" s="4" t="s">
        <v>280</v>
      </c>
      <c r="I254" s="4" t="s">
        <v>20</v>
      </c>
      <c r="J254" s="4">
        <v>53</v>
      </c>
      <c r="K254" s="4" t="str" cm="1">
        <f t="array" ref="K254">_xlfn.IFS(J254&lt;30, "Young Adult", J254&lt;50, "Adult", J254&gt;=50, "Senior")</f>
        <v>Senior</v>
      </c>
      <c r="L254" s="4" t="s">
        <v>21</v>
      </c>
      <c r="M254" s="4">
        <v>4</v>
      </c>
      <c r="N254" s="5">
        <v>500</v>
      </c>
      <c r="O254">
        <f>M254*N254</f>
        <v>2000</v>
      </c>
      <c r="P254" s="14">
        <f>O254*$S$3</f>
        <v>30</v>
      </c>
    </row>
    <row r="255" spans="1:16">
      <c r="A255" s="2">
        <v>254</v>
      </c>
      <c r="B255" s="4">
        <f>YEAR(G255)</f>
        <v>2023</v>
      </c>
      <c r="C255" s="4">
        <f>MONTH(G255)</f>
        <v>7</v>
      </c>
      <c r="D255" s="4">
        <f>DAY(G255)</f>
        <v>28</v>
      </c>
      <c r="E255" s="4" t="str">
        <f>TEXT(G255, "mmmm")</f>
        <v>July</v>
      </c>
      <c r="F255" s="4" t="str">
        <f>TEXT(G255, "dddd")</f>
        <v>Friday</v>
      </c>
      <c r="G255" s="3">
        <v>45135</v>
      </c>
      <c r="H255" s="4" t="s">
        <v>281</v>
      </c>
      <c r="I255" s="4" t="s">
        <v>16</v>
      </c>
      <c r="J255" s="4">
        <v>41</v>
      </c>
      <c r="K255" s="4" t="str" cm="1">
        <f t="array" ref="K255">_xlfn.IFS(J255&lt;30, "Young Adult", J255&lt;50, "Adult", J255&gt;=50, "Senior")</f>
        <v>Adult</v>
      </c>
      <c r="L255" s="4" t="s">
        <v>24</v>
      </c>
      <c r="M255" s="4">
        <v>1</v>
      </c>
      <c r="N255" s="5">
        <v>500</v>
      </c>
      <c r="O255">
        <f>M255*N255</f>
        <v>500</v>
      </c>
      <c r="P255" s="14">
        <f>O255*$S$3</f>
        <v>7.5</v>
      </c>
    </row>
    <row r="256" spans="1:16">
      <c r="A256" s="2">
        <v>255</v>
      </c>
      <c r="B256" s="4">
        <f>YEAR(G256)</f>
        <v>2023</v>
      </c>
      <c r="C256" s="4">
        <f>MONTH(G256)</f>
        <v>4</v>
      </c>
      <c r="D256" s="4">
        <f>DAY(G256)</f>
        <v>8</v>
      </c>
      <c r="E256" s="4" t="str">
        <f>TEXT(G256, "mmmm")</f>
        <v>April</v>
      </c>
      <c r="F256" s="4" t="str">
        <f>TEXT(G256, "dddd")</f>
        <v>Saturday</v>
      </c>
      <c r="G256" s="3">
        <v>45024</v>
      </c>
      <c r="H256" s="4" t="s">
        <v>282</v>
      </c>
      <c r="I256" s="4" t="s">
        <v>16</v>
      </c>
      <c r="J256" s="4">
        <v>48</v>
      </c>
      <c r="K256" s="4" t="str" cm="1">
        <f t="array" ref="K256">_xlfn.IFS(J256&lt;30, "Young Adult", J256&lt;50, "Adult", J256&gt;=50, "Senior")</f>
        <v>Adult</v>
      </c>
      <c r="L256" s="4" t="s">
        <v>21</v>
      </c>
      <c r="M256" s="4">
        <v>1</v>
      </c>
      <c r="N256" s="5">
        <v>30</v>
      </c>
      <c r="O256">
        <f>M256*N256</f>
        <v>30</v>
      </c>
      <c r="P256" s="14">
        <f>O256*$S$3</f>
        <v>0.44999999999999996</v>
      </c>
    </row>
    <row r="257" spans="1:16">
      <c r="A257" s="2">
        <v>256</v>
      </c>
      <c r="B257" s="4">
        <f>YEAR(G257)</f>
        <v>2023</v>
      </c>
      <c r="C257" s="4">
        <f>MONTH(G257)</f>
        <v>2</v>
      </c>
      <c r="D257" s="4">
        <f>DAY(G257)</f>
        <v>18</v>
      </c>
      <c r="E257" s="4" t="str">
        <f>TEXT(G257, "mmmm")</f>
        <v>February</v>
      </c>
      <c r="F257" s="4" t="str">
        <f>TEXT(G257, "dddd")</f>
        <v>Saturday</v>
      </c>
      <c r="G257" s="3">
        <v>44975</v>
      </c>
      <c r="H257" s="4" t="s">
        <v>283</v>
      </c>
      <c r="I257" s="4" t="s">
        <v>16</v>
      </c>
      <c r="J257" s="4">
        <v>23</v>
      </c>
      <c r="K257" s="4" t="str" cm="1">
        <f t="array" ref="K257">_xlfn.IFS(J257&lt;30, "Young Adult", J257&lt;50, "Adult", J257&gt;=50, "Senior")</f>
        <v>Young Adult</v>
      </c>
      <c r="L257" s="4" t="s">
        <v>21</v>
      </c>
      <c r="M257" s="4">
        <v>2</v>
      </c>
      <c r="N257" s="5">
        <v>500</v>
      </c>
      <c r="O257">
        <f>M257*N257</f>
        <v>1000</v>
      </c>
      <c r="P257" s="14">
        <f>O257*$S$3</f>
        <v>15</v>
      </c>
    </row>
    <row r="258" spans="1:16">
      <c r="A258" s="2">
        <v>257</v>
      </c>
      <c r="B258" s="4">
        <f>YEAR(G258)</f>
        <v>2023</v>
      </c>
      <c r="C258" s="4">
        <f>MONTH(G258)</f>
        <v>2</v>
      </c>
      <c r="D258" s="4">
        <f>DAY(G258)</f>
        <v>19</v>
      </c>
      <c r="E258" s="4" t="str">
        <f>TEXT(G258, "mmmm")</f>
        <v>February</v>
      </c>
      <c r="F258" s="4" t="str">
        <f>TEXT(G258, "dddd")</f>
        <v>Sunday</v>
      </c>
      <c r="G258" s="3">
        <v>44976</v>
      </c>
      <c r="H258" s="4" t="s">
        <v>284</v>
      </c>
      <c r="I258" s="4" t="s">
        <v>16</v>
      </c>
      <c r="J258" s="4">
        <v>19</v>
      </c>
      <c r="K258" s="4" t="str" cm="1">
        <f t="array" ref="K258">_xlfn.IFS(J258&lt;30, "Young Adult", J258&lt;50, "Adult", J258&gt;=50, "Senior")</f>
        <v>Young Adult</v>
      </c>
      <c r="L258" s="4" t="s">
        <v>17</v>
      </c>
      <c r="M258" s="4">
        <v>4</v>
      </c>
      <c r="N258" s="5">
        <v>500</v>
      </c>
      <c r="O258">
        <f>M258*N258</f>
        <v>2000</v>
      </c>
      <c r="P258" s="14">
        <f>O258*$S$3</f>
        <v>30</v>
      </c>
    </row>
    <row r="259" spans="1:16">
      <c r="A259" s="2">
        <v>258</v>
      </c>
      <c r="B259" s="4">
        <f>YEAR(G259)</f>
        <v>2023</v>
      </c>
      <c r="C259" s="4">
        <f>MONTH(G259)</f>
        <v>12</v>
      </c>
      <c r="D259" s="4">
        <f>DAY(G259)</f>
        <v>4</v>
      </c>
      <c r="E259" s="4" t="str">
        <f>TEXT(G259, "mmmm")</f>
        <v>December</v>
      </c>
      <c r="F259" s="4" t="str">
        <f>TEXT(G259, "dddd")</f>
        <v>Monday</v>
      </c>
      <c r="G259" s="3">
        <v>45264</v>
      </c>
      <c r="H259" s="4" t="s">
        <v>285</v>
      </c>
      <c r="I259" s="4" t="s">
        <v>20</v>
      </c>
      <c r="J259" s="4">
        <v>37</v>
      </c>
      <c r="K259" s="4" t="str" cm="1">
        <f t="array" ref="K259">_xlfn.IFS(J259&lt;30, "Young Adult", J259&lt;50, "Adult", J259&gt;=50, "Senior")</f>
        <v>Adult</v>
      </c>
      <c r="L259" s="4" t="s">
        <v>21</v>
      </c>
      <c r="M259" s="4">
        <v>1</v>
      </c>
      <c r="N259" s="5">
        <v>50</v>
      </c>
      <c r="O259">
        <f>M259*N259</f>
        <v>50</v>
      </c>
      <c r="P259" s="14">
        <f>O259*$S$3</f>
        <v>0.75</v>
      </c>
    </row>
    <row r="260" spans="1:16">
      <c r="A260" s="2">
        <v>259</v>
      </c>
      <c r="B260" s="4">
        <f>YEAR(G260)</f>
        <v>2023</v>
      </c>
      <c r="C260" s="4">
        <f>MONTH(G260)</f>
        <v>8</v>
      </c>
      <c r="D260" s="4">
        <f>DAY(G260)</f>
        <v>9</v>
      </c>
      <c r="E260" s="4" t="str">
        <f>TEXT(G260, "mmmm")</f>
        <v>August</v>
      </c>
      <c r="F260" s="4" t="str">
        <f>TEXT(G260, "dddd")</f>
        <v>Wednesday</v>
      </c>
      <c r="G260" s="3">
        <v>45147</v>
      </c>
      <c r="H260" s="4" t="s">
        <v>286</v>
      </c>
      <c r="I260" s="4" t="s">
        <v>20</v>
      </c>
      <c r="J260" s="4">
        <v>45</v>
      </c>
      <c r="K260" s="4" t="str" cm="1">
        <f t="array" ref="K260">_xlfn.IFS(J260&lt;30, "Young Adult", J260&lt;50, "Adult", J260&gt;=50, "Senior")</f>
        <v>Adult</v>
      </c>
      <c r="L260" s="4" t="s">
        <v>21</v>
      </c>
      <c r="M260" s="4">
        <v>4</v>
      </c>
      <c r="N260" s="5">
        <v>50</v>
      </c>
      <c r="O260">
        <f>M260*N260</f>
        <v>200</v>
      </c>
      <c r="P260" s="14">
        <f>O260*$S$3</f>
        <v>3</v>
      </c>
    </row>
    <row r="261" spans="1:16">
      <c r="A261" s="2">
        <v>260</v>
      </c>
      <c r="B261" s="4">
        <f>YEAR(G261)</f>
        <v>2023</v>
      </c>
      <c r="C261" s="4">
        <f>MONTH(G261)</f>
        <v>7</v>
      </c>
      <c r="D261" s="4">
        <f>DAY(G261)</f>
        <v>1</v>
      </c>
      <c r="E261" s="4" t="str">
        <f>TEXT(G261, "mmmm")</f>
        <v>July</v>
      </c>
      <c r="F261" s="4" t="str">
        <f>TEXT(G261, "dddd")</f>
        <v>Saturday</v>
      </c>
      <c r="G261" s="3">
        <v>45108</v>
      </c>
      <c r="H261" s="4" t="s">
        <v>287</v>
      </c>
      <c r="I261" s="4" t="s">
        <v>16</v>
      </c>
      <c r="J261" s="4">
        <v>28</v>
      </c>
      <c r="K261" s="4" t="str" cm="1">
        <f t="array" ref="K261">_xlfn.IFS(J261&lt;30, "Young Adult", J261&lt;50, "Adult", J261&gt;=50, "Senior")</f>
        <v>Young Adult</v>
      </c>
      <c r="L261" s="4" t="s">
        <v>17</v>
      </c>
      <c r="M261" s="4">
        <v>2</v>
      </c>
      <c r="N261" s="5">
        <v>30</v>
      </c>
      <c r="O261">
        <f>M261*N261</f>
        <v>60</v>
      </c>
      <c r="P261" s="14">
        <f>O261*$S$3</f>
        <v>0.89999999999999991</v>
      </c>
    </row>
    <row r="262" spans="1:16">
      <c r="A262" s="2">
        <v>261</v>
      </c>
      <c r="B262" s="4">
        <f>YEAR(G262)</f>
        <v>2023</v>
      </c>
      <c r="C262" s="4">
        <f>MONTH(G262)</f>
        <v>8</v>
      </c>
      <c r="D262" s="4">
        <f>DAY(G262)</f>
        <v>5</v>
      </c>
      <c r="E262" s="4" t="str">
        <f>TEXT(G262, "mmmm")</f>
        <v>August</v>
      </c>
      <c r="F262" s="4" t="str">
        <f>TEXT(G262, "dddd")</f>
        <v>Saturday</v>
      </c>
      <c r="G262" s="3">
        <v>45143</v>
      </c>
      <c r="H262" s="4" t="s">
        <v>288</v>
      </c>
      <c r="I262" s="4" t="s">
        <v>16</v>
      </c>
      <c r="J262" s="4">
        <v>21</v>
      </c>
      <c r="K262" s="4" t="str" cm="1">
        <f t="array" ref="K262">_xlfn.IFS(J262&lt;30, "Young Adult", J262&lt;50, "Adult", J262&gt;=50, "Senior")</f>
        <v>Young Adult</v>
      </c>
      <c r="L262" s="4" t="s">
        <v>21</v>
      </c>
      <c r="M262" s="4">
        <v>2</v>
      </c>
      <c r="N262" s="5">
        <v>25</v>
      </c>
      <c r="O262">
        <f>M262*N262</f>
        <v>50</v>
      </c>
      <c r="P262" s="14">
        <f>O262*$S$3</f>
        <v>0.75</v>
      </c>
    </row>
    <row r="263" spans="1:16">
      <c r="A263" s="2">
        <v>262</v>
      </c>
      <c r="B263" s="4">
        <f>YEAR(G263)</f>
        <v>2023</v>
      </c>
      <c r="C263" s="4">
        <f>MONTH(G263)</f>
        <v>7</v>
      </c>
      <c r="D263" s="4">
        <f>DAY(G263)</f>
        <v>30</v>
      </c>
      <c r="E263" s="4" t="str">
        <f>TEXT(G263, "mmmm")</f>
        <v>July</v>
      </c>
      <c r="F263" s="4" t="str">
        <f>TEXT(G263, "dddd")</f>
        <v>Sunday</v>
      </c>
      <c r="G263" s="3">
        <v>45137</v>
      </c>
      <c r="H263" s="4" t="s">
        <v>289</v>
      </c>
      <c r="I263" s="4" t="s">
        <v>20</v>
      </c>
      <c r="J263" s="4">
        <v>32</v>
      </c>
      <c r="K263" s="4" t="str" cm="1">
        <f t="array" ref="K263">_xlfn.IFS(J263&lt;30, "Young Adult", J263&lt;50, "Adult", J263&gt;=50, "Senior")</f>
        <v>Adult</v>
      </c>
      <c r="L263" s="4" t="s">
        <v>17</v>
      </c>
      <c r="M263" s="4">
        <v>4</v>
      </c>
      <c r="N263" s="5">
        <v>30</v>
      </c>
      <c r="O263">
        <f>M263*N263</f>
        <v>120</v>
      </c>
      <c r="P263" s="14">
        <f>O263*$S$3</f>
        <v>1.7999999999999998</v>
      </c>
    </row>
    <row r="264" spans="1:16">
      <c r="A264" s="2">
        <v>263</v>
      </c>
      <c r="B264" s="4">
        <f>YEAR(G264)</f>
        <v>2023</v>
      </c>
      <c r="C264" s="4">
        <f>MONTH(G264)</f>
        <v>8</v>
      </c>
      <c r="D264" s="4">
        <f>DAY(G264)</f>
        <v>28</v>
      </c>
      <c r="E264" s="4" t="str">
        <f>TEXT(G264, "mmmm")</f>
        <v>August</v>
      </c>
      <c r="F264" s="4" t="str">
        <f>TEXT(G264, "dddd")</f>
        <v>Monday</v>
      </c>
      <c r="G264" s="3">
        <v>45166</v>
      </c>
      <c r="H264" s="4" t="s">
        <v>290</v>
      </c>
      <c r="I264" s="4" t="s">
        <v>16</v>
      </c>
      <c r="J264" s="4">
        <v>23</v>
      </c>
      <c r="K264" s="4" t="str" cm="1">
        <f t="array" ref="K264">_xlfn.IFS(J264&lt;30, "Young Adult", J264&lt;50, "Adult", J264&gt;=50, "Senior")</f>
        <v>Young Adult</v>
      </c>
      <c r="L264" s="4" t="s">
        <v>17</v>
      </c>
      <c r="M264" s="4">
        <v>2</v>
      </c>
      <c r="N264" s="5">
        <v>30</v>
      </c>
      <c r="O264">
        <f>M264*N264</f>
        <v>60</v>
      </c>
      <c r="P264" s="14">
        <f>O264*$S$3</f>
        <v>0.89999999999999991</v>
      </c>
    </row>
    <row r="265" spans="1:16">
      <c r="A265" s="2">
        <v>264</v>
      </c>
      <c r="B265" s="4">
        <f>YEAR(G265)</f>
        <v>2023</v>
      </c>
      <c r="C265" s="4">
        <f>MONTH(G265)</f>
        <v>1</v>
      </c>
      <c r="D265" s="4">
        <f>DAY(G265)</f>
        <v>28</v>
      </c>
      <c r="E265" s="4" t="str">
        <f>TEXT(G265, "mmmm")</f>
        <v>January</v>
      </c>
      <c r="F265" s="4" t="str">
        <f>TEXT(G265, "dddd")</f>
        <v>Saturday</v>
      </c>
      <c r="G265" s="3">
        <v>44954</v>
      </c>
      <c r="H265" s="4" t="s">
        <v>291</v>
      </c>
      <c r="I265" s="4" t="s">
        <v>16</v>
      </c>
      <c r="J265" s="4">
        <v>47</v>
      </c>
      <c r="K265" s="4" t="str" cm="1">
        <f t="array" ref="K265">_xlfn.IFS(J265&lt;30, "Young Adult", J265&lt;50, "Adult", J265&gt;=50, "Senior")</f>
        <v>Adult</v>
      </c>
      <c r="L265" s="4" t="s">
        <v>21</v>
      </c>
      <c r="M265" s="4">
        <v>3</v>
      </c>
      <c r="N265" s="5">
        <v>300</v>
      </c>
      <c r="O265">
        <f>M265*N265</f>
        <v>900</v>
      </c>
      <c r="P265" s="14">
        <f>O265*$S$3</f>
        <v>13.5</v>
      </c>
    </row>
    <row r="266" spans="1:16">
      <c r="A266" s="2">
        <v>265</v>
      </c>
      <c r="B266" s="4">
        <f>YEAR(G266)</f>
        <v>2023</v>
      </c>
      <c r="C266" s="4">
        <f>MONTH(G266)</f>
        <v>12</v>
      </c>
      <c r="D266" s="4">
        <f>DAY(G266)</f>
        <v>11</v>
      </c>
      <c r="E266" s="4" t="str">
        <f>TEXT(G266, "mmmm")</f>
        <v>December</v>
      </c>
      <c r="F266" s="4" t="str">
        <f>TEXT(G266, "dddd")</f>
        <v>Monday</v>
      </c>
      <c r="G266" s="3">
        <v>45271</v>
      </c>
      <c r="H266" s="4" t="s">
        <v>292</v>
      </c>
      <c r="I266" s="4" t="s">
        <v>16</v>
      </c>
      <c r="J266" s="4">
        <v>55</v>
      </c>
      <c r="K266" s="4" t="str" cm="1">
        <f t="array" ref="K266">_xlfn.IFS(J266&lt;30, "Young Adult", J266&lt;50, "Adult", J266&gt;=50, "Senior")</f>
        <v>Senior</v>
      </c>
      <c r="L266" s="4" t="s">
        <v>21</v>
      </c>
      <c r="M266" s="4">
        <v>3</v>
      </c>
      <c r="N266" s="5">
        <v>300</v>
      </c>
      <c r="O266">
        <f>M266*N266</f>
        <v>900</v>
      </c>
      <c r="P266" s="14">
        <f>O266*$S$3</f>
        <v>13.5</v>
      </c>
    </row>
    <row r="267" spans="1:16">
      <c r="A267" s="2">
        <v>266</v>
      </c>
      <c r="B267" s="4">
        <f>YEAR(G267)</f>
        <v>2023</v>
      </c>
      <c r="C267" s="4">
        <f>MONTH(G267)</f>
        <v>12</v>
      </c>
      <c r="D267" s="4">
        <f>DAY(G267)</f>
        <v>1</v>
      </c>
      <c r="E267" s="4" t="str">
        <f>TEXT(G267, "mmmm")</f>
        <v>December</v>
      </c>
      <c r="F267" s="4" t="str">
        <f>TEXT(G267, "dddd")</f>
        <v>Friday</v>
      </c>
      <c r="G267" s="3">
        <v>45261</v>
      </c>
      <c r="H267" s="4" t="s">
        <v>293</v>
      </c>
      <c r="I267" s="4" t="s">
        <v>20</v>
      </c>
      <c r="J267" s="4">
        <v>19</v>
      </c>
      <c r="K267" s="4" t="str" cm="1">
        <f t="array" ref="K267">_xlfn.IFS(J267&lt;30, "Young Adult", J267&lt;50, "Adult", J267&gt;=50, "Senior")</f>
        <v>Young Adult</v>
      </c>
      <c r="L267" s="4" t="s">
        <v>24</v>
      </c>
      <c r="M267" s="4">
        <v>2</v>
      </c>
      <c r="N267" s="5">
        <v>30</v>
      </c>
      <c r="O267">
        <f>M267*N267</f>
        <v>60</v>
      </c>
      <c r="P267" s="14">
        <f>O267*$S$3</f>
        <v>0.89999999999999991</v>
      </c>
    </row>
    <row r="268" spans="1:16">
      <c r="A268" s="2">
        <v>267</v>
      </c>
      <c r="B268" s="4">
        <f>YEAR(G268)</f>
        <v>2023</v>
      </c>
      <c r="C268" s="4">
        <f>MONTH(G268)</f>
        <v>11</v>
      </c>
      <c r="D268" s="4">
        <f>DAY(G268)</f>
        <v>27</v>
      </c>
      <c r="E268" s="4" t="str">
        <f>TEXT(G268, "mmmm")</f>
        <v>November</v>
      </c>
      <c r="F268" s="4" t="str">
        <f>TEXT(G268, "dddd")</f>
        <v>Monday</v>
      </c>
      <c r="G268" s="3">
        <v>45257</v>
      </c>
      <c r="H268" s="4" t="s">
        <v>294</v>
      </c>
      <c r="I268" s="4" t="s">
        <v>20</v>
      </c>
      <c r="J268" s="4">
        <v>32</v>
      </c>
      <c r="K268" s="4" t="str" cm="1">
        <f t="array" ref="K268">_xlfn.IFS(J268&lt;30, "Young Adult", J268&lt;50, "Adult", J268&gt;=50, "Senior")</f>
        <v>Adult</v>
      </c>
      <c r="L268" s="4" t="s">
        <v>17</v>
      </c>
      <c r="M268" s="4">
        <v>3</v>
      </c>
      <c r="N268" s="5">
        <v>30</v>
      </c>
      <c r="O268">
        <f>M268*N268</f>
        <v>90</v>
      </c>
      <c r="P268" s="14">
        <f>O268*$S$3</f>
        <v>1.3499999999999999</v>
      </c>
    </row>
    <row r="269" spans="1:16">
      <c r="A269" s="2">
        <v>268</v>
      </c>
      <c r="B269" s="4">
        <f>YEAR(G269)</f>
        <v>2023</v>
      </c>
      <c r="C269" s="4">
        <f>MONTH(G269)</f>
        <v>2</v>
      </c>
      <c r="D269" s="4">
        <f>DAY(G269)</f>
        <v>20</v>
      </c>
      <c r="E269" s="4" t="str">
        <f>TEXT(G269, "mmmm")</f>
        <v>February</v>
      </c>
      <c r="F269" s="4" t="str">
        <f>TEXT(G269, "dddd")</f>
        <v>Monday</v>
      </c>
      <c r="G269" s="3">
        <v>44977</v>
      </c>
      <c r="H269" s="4" t="s">
        <v>295</v>
      </c>
      <c r="I269" s="4" t="s">
        <v>20</v>
      </c>
      <c r="J269" s="4">
        <v>28</v>
      </c>
      <c r="K269" s="4" t="str" cm="1">
        <f t="array" ref="K269">_xlfn.IFS(J269&lt;30, "Young Adult", J269&lt;50, "Adult", J269&gt;=50, "Senior")</f>
        <v>Young Adult</v>
      </c>
      <c r="L269" s="4" t="s">
        <v>24</v>
      </c>
      <c r="M269" s="4">
        <v>1</v>
      </c>
      <c r="N269" s="5">
        <v>30</v>
      </c>
      <c r="O269">
        <f>M269*N269</f>
        <v>30</v>
      </c>
      <c r="P269" s="14">
        <f>O269*$S$3</f>
        <v>0.44999999999999996</v>
      </c>
    </row>
    <row r="270" spans="1:16">
      <c r="A270" s="2">
        <v>269</v>
      </c>
      <c r="B270" s="4">
        <f>YEAR(G270)</f>
        <v>2023</v>
      </c>
      <c r="C270" s="4">
        <f>MONTH(G270)</f>
        <v>2</v>
      </c>
      <c r="D270" s="4">
        <f>DAY(G270)</f>
        <v>1</v>
      </c>
      <c r="E270" s="4" t="str">
        <f>TEXT(G270, "mmmm")</f>
        <v>February</v>
      </c>
      <c r="F270" s="4" t="str">
        <f>TEXT(G270, "dddd")</f>
        <v>Wednesday</v>
      </c>
      <c r="G270" s="3">
        <v>44958</v>
      </c>
      <c r="H270" s="4" t="s">
        <v>296</v>
      </c>
      <c r="I270" s="4" t="s">
        <v>16</v>
      </c>
      <c r="J270" s="4">
        <v>25</v>
      </c>
      <c r="K270" s="4" t="str" cm="1">
        <f t="array" ref="K270">_xlfn.IFS(J270&lt;30, "Young Adult", J270&lt;50, "Adult", J270&gt;=50, "Senior")</f>
        <v>Young Adult</v>
      </c>
      <c r="L270" s="4" t="s">
        <v>21</v>
      </c>
      <c r="M270" s="4">
        <v>4</v>
      </c>
      <c r="N270" s="5">
        <v>500</v>
      </c>
      <c r="O270">
        <f>M270*N270</f>
        <v>2000</v>
      </c>
      <c r="P270" s="14">
        <f>O270*$S$3</f>
        <v>30</v>
      </c>
    </row>
    <row r="271" spans="1:16">
      <c r="A271" s="2">
        <v>270</v>
      </c>
      <c r="B271" s="4">
        <f>YEAR(G271)</f>
        <v>2023</v>
      </c>
      <c r="C271" s="4">
        <f>MONTH(G271)</f>
        <v>7</v>
      </c>
      <c r="D271" s="4">
        <f>DAY(G271)</f>
        <v>26</v>
      </c>
      <c r="E271" s="4" t="str">
        <f>TEXT(G271, "mmmm")</f>
        <v>July</v>
      </c>
      <c r="F271" s="4" t="str">
        <f>TEXT(G271, "dddd")</f>
        <v>Wednesday</v>
      </c>
      <c r="G271" s="3">
        <v>45133</v>
      </c>
      <c r="H271" s="4" t="s">
        <v>297</v>
      </c>
      <c r="I271" s="4" t="s">
        <v>16</v>
      </c>
      <c r="J271" s="4">
        <v>43</v>
      </c>
      <c r="K271" s="4" t="str" cm="1">
        <f t="array" ref="K271">_xlfn.IFS(J271&lt;30, "Young Adult", J271&lt;50, "Adult", J271&gt;=50, "Senior")</f>
        <v>Adult</v>
      </c>
      <c r="L271" s="4" t="s">
        <v>24</v>
      </c>
      <c r="M271" s="4">
        <v>1</v>
      </c>
      <c r="N271" s="5">
        <v>300</v>
      </c>
      <c r="O271">
        <f>M271*N271</f>
        <v>300</v>
      </c>
      <c r="P271" s="14">
        <f>O271*$S$3</f>
        <v>4.5</v>
      </c>
    </row>
    <row r="272" spans="1:16">
      <c r="A272" s="2">
        <v>271</v>
      </c>
      <c r="B272" s="4">
        <f>YEAR(G272)</f>
        <v>2023</v>
      </c>
      <c r="C272" s="4">
        <f>MONTH(G272)</f>
        <v>6</v>
      </c>
      <c r="D272" s="4">
        <f>DAY(G272)</f>
        <v>23</v>
      </c>
      <c r="E272" s="4" t="str">
        <f>TEXT(G272, "mmmm")</f>
        <v>June</v>
      </c>
      <c r="F272" s="4" t="str">
        <f>TEXT(G272, "dddd")</f>
        <v>Friday</v>
      </c>
      <c r="G272" s="3">
        <v>45100</v>
      </c>
      <c r="H272" s="4" t="s">
        <v>298</v>
      </c>
      <c r="I272" s="4" t="s">
        <v>20</v>
      </c>
      <c r="J272" s="4">
        <v>62</v>
      </c>
      <c r="K272" s="4" t="str" cm="1">
        <f t="array" ref="K272">_xlfn.IFS(J272&lt;30, "Young Adult", J272&lt;50, "Adult", J272&gt;=50, "Senior")</f>
        <v>Senior</v>
      </c>
      <c r="L272" s="4" t="s">
        <v>17</v>
      </c>
      <c r="M272" s="4">
        <v>4</v>
      </c>
      <c r="N272" s="5">
        <v>30</v>
      </c>
      <c r="O272">
        <f>M272*N272</f>
        <v>120</v>
      </c>
      <c r="P272" s="14">
        <f>O272*$S$3</f>
        <v>1.7999999999999998</v>
      </c>
    </row>
    <row r="273" spans="1:16">
      <c r="A273" s="2">
        <v>272</v>
      </c>
      <c r="B273" s="4">
        <f>YEAR(G273)</f>
        <v>2023</v>
      </c>
      <c r="C273" s="4">
        <f>MONTH(G273)</f>
        <v>2</v>
      </c>
      <c r="D273" s="4">
        <f>DAY(G273)</f>
        <v>25</v>
      </c>
      <c r="E273" s="4" t="str">
        <f>TEXT(G273, "mmmm")</f>
        <v>February</v>
      </c>
      <c r="F273" s="4" t="str">
        <f>TEXT(G273, "dddd")</f>
        <v>Saturday</v>
      </c>
      <c r="G273" s="3">
        <v>44982</v>
      </c>
      <c r="H273" s="4" t="s">
        <v>299</v>
      </c>
      <c r="I273" s="4" t="s">
        <v>20</v>
      </c>
      <c r="J273" s="4">
        <v>61</v>
      </c>
      <c r="K273" s="4" t="str" cm="1">
        <f t="array" ref="K273">_xlfn.IFS(J273&lt;30, "Young Adult", J273&lt;50, "Adult", J273&gt;=50, "Senior")</f>
        <v>Senior</v>
      </c>
      <c r="L273" s="4" t="s">
        <v>24</v>
      </c>
      <c r="M273" s="4">
        <v>2</v>
      </c>
      <c r="N273" s="5">
        <v>50</v>
      </c>
      <c r="O273">
        <f>M273*N273</f>
        <v>100</v>
      </c>
      <c r="P273" s="14">
        <f>O273*$S$3</f>
        <v>1.5</v>
      </c>
    </row>
    <row r="274" spans="1:16">
      <c r="A274" s="2">
        <v>273</v>
      </c>
      <c r="B274" s="4">
        <f>YEAR(G274)</f>
        <v>2023</v>
      </c>
      <c r="C274" s="4">
        <f>MONTH(G274)</f>
        <v>5</v>
      </c>
      <c r="D274" s="4">
        <f>DAY(G274)</f>
        <v>8</v>
      </c>
      <c r="E274" s="4" t="str">
        <f>TEXT(G274, "mmmm")</f>
        <v>May</v>
      </c>
      <c r="F274" s="4" t="str">
        <f>TEXT(G274, "dddd")</f>
        <v>Monday</v>
      </c>
      <c r="G274" s="3">
        <v>45054</v>
      </c>
      <c r="H274" s="4" t="s">
        <v>300</v>
      </c>
      <c r="I274" s="4" t="s">
        <v>20</v>
      </c>
      <c r="J274" s="4">
        <v>22</v>
      </c>
      <c r="K274" s="4" t="str" cm="1">
        <f t="array" ref="K274">_xlfn.IFS(J274&lt;30, "Young Adult", J274&lt;50, "Adult", J274&gt;=50, "Senior")</f>
        <v>Young Adult</v>
      </c>
      <c r="L274" s="4" t="s">
        <v>17</v>
      </c>
      <c r="M274" s="4">
        <v>1</v>
      </c>
      <c r="N274" s="5">
        <v>50</v>
      </c>
      <c r="O274">
        <f>M274*N274</f>
        <v>50</v>
      </c>
      <c r="P274" s="14">
        <f>O274*$S$3</f>
        <v>0.75</v>
      </c>
    </row>
    <row r="275" spans="1:16">
      <c r="A275" s="2">
        <v>274</v>
      </c>
      <c r="B275" s="4">
        <f>YEAR(G275)</f>
        <v>2023</v>
      </c>
      <c r="C275" s="4">
        <f>MONTH(G275)</f>
        <v>4</v>
      </c>
      <c r="D275" s="4">
        <f>DAY(G275)</f>
        <v>9</v>
      </c>
      <c r="E275" s="4" t="str">
        <f>TEXT(G275, "mmmm")</f>
        <v>April</v>
      </c>
      <c r="F275" s="4" t="str">
        <f>TEXT(G275, "dddd")</f>
        <v>Sunday</v>
      </c>
      <c r="G275" s="3">
        <v>45025</v>
      </c>
      <c r="H275" s="4" t="s">
        <v>301</v>
      </c>
      <c r="I275" s="4" t="s">
        <v>20</v>
      </c>
      <c r="J275" s="4">
        <v>23</v>
      </c>
      <c r="K275" s="4" t="str" cm="1">
        <f t="array" ref="K275">_xlfn.IFS(J275&lt;30, "Young Adult", J275&lt;50, "Adult", J275&gt;=50, "Senior")</f>
        <v>Young Adult</v>
      </c>
      <c r="L275" s="4" t="s">
        <v>21</v>
      </c>
      <c r="M275" s="4">
        <v>2</v>
      </c>
      <c r="N275" s="5">
        <v>500</v>
      </c>
      <c r="O275">
        <f>M275*N275</f>
        <v>1000</v>
      </c>
      <c r="P275" s="14">
        <f>O275*$S$3</f>
        <v>15</v>
      </c>
    </row>
    <row r="276" spans="1:16">
      <c r="A276" s="2">
        <v>275</v>
      </c>
      <c r="B276" s="4">
        <f>YEAR(G276)</f>
        <v>2023</v>
      </c>
      <c r="C276" s="4">
        <f>MONTH(G276)</f>
        <v>4</v>
      </c>
      <c r="D276" s="4">
        <f>DAY(G276)</f>
        <v>8</v>
      </c>
      <c r="E276" s="4" t="str">
        <f>TEXT(G276, "mmmm")</f>
        <v>April</v>
      </c>
      <c r="F276" s="4" t="str">
        <f>TEXT(G276, "dddd")</f>
        <v>Saturday</v>
      </c>
      <c r="G276" s="3">
        <v>45024</v>
      </c>
      <c r="H276" s="4" t="s">
        <v>302</v>
      </c>
      <c r="I276" s="4" t="s">
        <v>16</v>
      </c>
      <c r="J276" s="4">
        <v>43</v>
      </c>
      <c r="K276" s="4" t="str" cm="1">
        <f t="array" ref="K276">_xlfn.IFS(J276&lt;30, "Young Adult", J276&lt;50, "Adult", J276&gt;=50, "Senior")</f>
        <v>Adult</v>
      </c>
      <c r="L276" s="4" t="s">
        <v>21</v>
      </c>
      <c r="M276" s="4">
        <v>2</v>
      </c>
      <c r="N276" s="5">
        <v>500</v>
      </c>
      <c r="O276">
        <f>M276*N276</f>
        <v>1000</v>
      </c>
      <c r="P276" s="14">
        <f>O276*$S$3</f>
        <v>15</v>
      </c>
    </row>
    <row r="277" spans="1:16">
      <c r="A277" s="2">
        <v>276</v>
      </c>
      <c r="B277" s="4">
        <f>YEAR(G277)</f>
        <v>2023</v>
      </c>
      <c r="C277" s="4">
        <f>MONTH(G277)</f>
        <v>10</v>
      </c>
      <c r="D277" s="4">
        <f>DAY(G277)</f>
        <v>2</v>
      </c>
      <c r="E277" s="4" t="str">
        <f>TEXT(G277, "mmmm")</f>
        <v>October</v>
      </c>
      <c r="F277" s="4" t="str">
        <f>TEXT(G277, "dddd")</f>
        <v>Monday</v>
      </c>
      <c r="G277" s="3">
        <v>45201</v>
      </c>
      <c r="H277" s="4" t="s">
        <v>303</v>
      </c>
      <c r="I277" s="4" t="s">
        <v>20</v>
      </c>
      <c r="J277" s="4">
        <v>21</v>
      </c>
      <c r="K277" s="4" t="str" cm="1">
        <f t="array" ref="K277">_xlfn.IFS(J277&lt;30, "Young Adult", J277&lt;50, "Adult", J277&gt;=50, "Senior")</f>
        <v>Young Adult</v>
      </c>
      <c r="L277" s="4" t="s">
        <v>17</v>
      </c>
      <c r="M277" s="4">
        <v>4</v>
      </c>
      <c r="N277" s="5">
        <v>25</v>
      </c>
      <c r="O277">
        <f>M277*N277</f>
        <v>100</v>
      </c>
      <c r="P277" s="14">
        <f>O277*$S$3</f>
        <v>1.5</v>
      </c>
    </row>
    <row r="278" spans="1:16">
      <c r="A278" s="2">
        <v>277</v>
      </c>
      <c r="B278" s="4">
        <f>YEAR(G278)</f>
        <v>2023</v>
      </c>
      <c r="C278" s="4">
        <f>MONTH(G278)</f>
        <v>8</v>
      </c>
      <c r="D278" s="4">
        <f>DAY(G278)</f>
        <v>18</v>
      </c>
      <c r="E278" s="4" t="str">
        <f>TEXT(G278, "mmmm")</f>
        <v>August</v>
      </c>
      <c r="F278" s="4" t="str">
        <f>TEXT(G278, "dddd")</f>
        <v>Friday</v>
      </c>
      <c r="G278" s="3">
        <v>45156</v>
      </c>
      <c r="H278" s="4" t="s">
        <v>304</v>
      </c>
      <c r="I278" s="4" t="s">
        <v>16</v>
      </c>
      <c r="J278" s="4">
        <v>36</v>
      </c>
      <c r="K278" s="4" t="str" cm="1">
        <f t="array" ref="K278">_xlfn.IFS(J278&lt;30, "Young Adult", J278&lt;50, "Adult", J278&gt;=50, "Senior")</f>
        <v>Adult</v>
      </c>
      <c r="L278" s="4" t="s">
        <v>21</v>
      </c>
      <c r="M278" s="4">
        <v>4</v>
      </c>
      <c r="N278" s="5">
        <v>25</v>
      </c>
      <c r="O278">
        <f>M278*N278</f>
        <v>100</v>
      </c>
      <c r="P278" s="14">
        <f>O278*$S$3</f>
        <v>1.5</v>
      </c>
    </row>
    <row r="279" spans="1:16">
      <c r="A279" s="2">
        <v>278</v>
      </c>
      <c r="B279" s="4">
        <f>YEAR(G279)</f>
        <v>2023</v>
      </c>
      <c r="C279" s="4">
        <f>MONTH(G279)</f>
        <v>3</v>
      </c>
      <c r="D279" s="4">
        <f>DAY(G279)</f>
        <v>13</v>
      </c>
      <c r="E279" s="4" t="str">
        <f>TEXT(G279, "mmmm")</f>
        <v>March</v>
      </c>
      <c r="F279" s="4" t="str">
        <f>TEXT(G279, "dddd")</f>
        <v>Monday</v>
      </c>
      <c r="G279" s="3">
        <v>44998</v>
      </c>
      <c r="H279" s="4" t="s">
        <v>305</v>
      </c>
      <c r="I279" s="4" t="s">
        <v>20</v>
      </c>
      <c r="J279" s="4">
        <v>37</v>
      </c>
      <c r="K279" s="4" t="str" cm="1">
        <f t="array" ref="K279">_xlfn.IFS(J279&lt;30, "Young Adult", J279&lt;50, "Adult", J279&gt;=50, "Senior")</f>
        <v>Adult</v>
      </c>
      <c r="L279" s="4" t="s">
        <v>21</v>
      </c>
      <c r="M279" s="4">
        <v>4</v>
      </c>
      <c r="N279" s="5">
        <v>25</v>
      </c>
      <c r="O279">
        <f>M279*N279</f>
        <v>100</v>
      </c>
      <c r="P279" s="14">
        <f>O279*$S$3</f>
        <v>1.5</v>
      </c>
    </row>
    <row r="280" spans="1:16">
      <c r="A280" s="2">
        <v>279</v>
      </c>
      <c r="B280" s="4">
        <f>YEAR(G280)</f>
        <v>2023</v>
      </c>
      <c r="C280" s="4">
        <f>MONTH(G280)</f>
        <v>8</v>
      </c>
      <c r="D280" s="4">
        <f>DAY(G280)</f>
        <v>5</v>
      </c>
      <c r="E280" s="4" t="str">
        <f>TEXT(G280, "mmmm")</f>
        <v>August</v>
      </c>
      <c r="F280" s="4" t="str">
        <f>TEXT(G280, "dddd")</f>
        <v>Saturday</v>
      </c>
      <c r="G280" s="3">
        <v>45143</v>
      </c>
      <c r="H280" s="4" t="s">
        <v>306</v>
      </c>
      <c r="I280" s="4" t="s">
        <v>16</v>
      </c>
      <c r="J280" s="4">
        <v>50</v>
      </c>
      <c r="K280" s="4" t="str" cm="1">
        <f t="array" ref="K280">_xlfn.IFS(J280&lt;30, "Young Adult", J280&lt;50, "Adult", J280&gt;=50, "Senior")</f>
        <v>Senior</v>
      </c>
      <c r="L280" s="4" t="s">
        <v>21</v>
      </c>
      <c r="M280" s="4">
        <v>1</v>
      </c>
      <c r="N280" s="5">
        <v>500</v>
      </c>
      <c r="O280">
        <f>M280*N280</f>
        <v>500</v>
      </c>
      <c r="P280" s="14">
        <f>O280*$S$3</f>
        <v>7.5</v>
      </c>
    </row>
    <row r="281" spans="1:16">
      <c r="A281" s="2">
        <v>280</v>
      </c>
      <c r="B281" s="4">
        <f>YEAR(G281)</f>
        <v>2023</v>
      </c>
      <c r="C281" s="4">
        <f>MONTH(G281)</f>
        <v>4</v>
      </c>
      <c r="D281" s="4">
        <f>DAY(G281)</f>
        <v>4</v>
      </c>
      <c r="E281" s="4" t="str">
        <f>TEXT(G281, "mmmm")</f>
        <v>April</v>
      </c>
      <c r="F281" s="4" t="str">
        <f>TEXT(G281, "dddd")</f>
        <v>Tuesday</v>
      </c>
      <c r="G281" s="3">
        <v>45020</v>
      </c>
      <c r="H281" s="4" t="s">
        <v>307</v>
      </c>
      <c r="I281" s="4" t="s">
        <v>20</v>
      </c>
      <c r="J281" s="4">
        <v>37</v>
      </c>
      <c r="K281" s="4" t="str" cm="1">
        <f t="array" ref="K281">_xlfn.IFS(J281&lt;30, "Young Adult", J281&lt;50, "Adult", J281&gt;=50, "Senior")</f>
        <v>Adult</v>
      </c>
      <c r="L281" s="4" t="s">
        <v>21</v>
      </c>
      <c r="M281" s="4">
        <v>3</v>
      </c>
      <c r="N281" s="5">
        <v>500</v>
      </c>
      <c r="O281">
        <f>M281*N281</f>
        <v>1500</v>
      </c>
      <c r="P281" s="14">
        <f>O281*$S$3</f>
        <v>22.5</v>
      </c>
    </row>
    <row r="282" spans="1:16">
      <c r="A282" s="2">
        <v>281</v>
      </c>
      <c r="B282" s="4">
        <f>YEAR(G282)</f>
        <v>2023</v>
      </c>
      <c r="C282" s="4">
        <f>MONTH(G282)</f>
        <v>5</v>
      </c>
      <c r="D282" s="4">
        <f>DAY(G282)</f>
        <v>23</v>
      </c>
      <c r="E282" s="4" t="str">
        <f>TEXT(G282, "mmmm")</f>
        <v>May</v>
      </c>
      <c r="F282" s="4" t="str">
        <f>TEXT(G282, "dddd")</f>
        <v>Tuesday</v>
      </c>
      <c r="G282" s="3">
        <v>45069</v>
      </c>
      <c r="H282" s="4" t="s">
        <v>308</v>
      </c>
      <c r="I282" s="4" t="s">
        <v>20</v>
      </c>
      <c r="J282" s="4">
        <v>29</v>
      </c>
      <c r="K282" s="4" t="str" cm="1">
        <f t="array" ref="K282">_xlfn.IFS(J282&lt;30, "Young Adult", J282&lt;50, "Adult", J282&gt;=50, "Senior")</f>
        <v>Young Adult</v>
      </c>
      <c r="L282" s="4" t="s">
        <v>17</v>
      </c>
      <c r="M282" s="4">
        <v>4</v>
      </c>
      <c r="N282" s="5">
        <v>500</v>
      </c>
      <c r="O282">
        <f>M282*N282</f>
        <v>2000</v>
      </c>
      <c r="P282" s="14">
        <f>O282*$S$3</f>
        <v>30</v>
      </c>
    </row>
    <row r="283" spans="1:16">
      <c r="A283" s="2">
        <v>282</v>
      </c>
      <c r="B283" s="4">
        <f>YEAR(G283)</f>
        <v>2023</v>
      </c>
      <c r="C283" s="4">
        <f>MONTH(G283)</f>
        <v>8</v>
      </c>
      <c r="D283" s="4">
        <f>DAY(G283)</f>
        <v>25</v>
      </c>
      <c r="E283" s="4" t="str">
        <f>TEXT(G283, "mmmm")</f>
        <v>August</v>
      </c>
      <c r="F283" s="4" t="str">
        <f>TEXT(G283, "dddd")</f>
        <v>Friday</v>
      </c>
      <c r="G283" s="3">
        <v>45163</v>
      </c>
      <c r="H283" s="4" t="s">
        <v>309</v>
      </c>
      <c r="I283" s="4" t="s">
        <v>20</v>
      </c>
      <c r="J283" s="4">
        <v>64</v>
      </c>
      <c r="K283" s="4" t="str" cm="1">
        <f t="array" ref="K283">_xlfn.IFS(J283&lt;30, "Young Adult", J283&lt;50, "Adult", J283&gt;=50, "Senior")</f>
        <v>Senior</v>
      </c>
      <c r="L283" s="4" t="s">
        <v>24</v>
      </c>
      <c r="M283" s="4">
        <v>4</v>
      </c>
      <c r="N283" s="5">
        <v>50</v>
      </c>
      <c r="O283">
        <f>M283*N283</f>
        <v>200</v>
      </c>
      <c r="P283" s="14">
        <f>O283*$S$3</f>
        <v>3</v>
      </c>
    </row>
    <row r="284" spans="1:16">
      <c r="A284" s="2">
        <v>283</v>
      </c>
      <c r="B284" s="4">
        <f>YEAR(G284)</f>
        <v>2023</v>
      </c>
      <c r="C284" s="4">
        <f>MONTH(G284)</f>
        <v>5</v>
      </c>
      <c r="D284" s="4">
        <f>DAY(G284)</f>
        <v>8</v>
      </c>
      <c r="E284" s="4" t="str">
        <f>TEXT(G284, "mmmm")</f>
        <v>May</v>
      </c>
      <c r="F284" s="4" t="str">
        <f>TEXT(G284, "dddd")</f>
        <v>Monday</v>
      </c>
      <c r="G284" s="3">
        <v>45054</v>
      </c>
      <c r="H284" s="4" t="s">
        <v>310</v>
      </c>
      <c r="I284" s="4" t="s">
        <v>20</v>
      </c>
      <c r="J284" s="4">
        <v>18</v>
      </c>
      <c r="K284" s="4" t="str" cm="1">
        <f t="array" ref="K284">_xlfn.IFS(J284&lt;30, "Young Adult", J284&lt;50, "Adult", J284&gt;=50, "Senior")</f>
        <v>Young Adult</v>
      </c>
      <c r="L284" s="4" t="s">
        <v>24</v>
      </c>
      <c r="M284" s="4">
        <v>1</v>
      </c>
      <c r="N284" s="5">
        <v>500</v>
      </c>
      <c r="O284">
        <f>M284*N284</f>
        <v>500</v>
      </c>
      <c r="P284" s="14">
        <f>O284*$S$3</f>
        <v>7.5</v>
      </c>
    </row>
    <row r="285" spans="1:16">
      <c r="A285" s="2">
        <v>284</v>
      </c>
      <c r="B285" s="4">
        <f>YEAR(G285)</f>
        <v>2023</v>
      </c>
      <c r="C285" s="4">
        <f>MONTH(G285)</f>
        <v>2</v>
      </c>
      <c r="D285" s="4">
        <f>DAY(G285)</f>
        <v>8</v>
      </c>
      <c r="E285" s="4" t="str">
        <f>TEXT(G285, "mmmm")</f>
        <v>February</v>
      </c>
      <c r="F285" s="4" t="str">
        <f>TEXT(G285, "dddd")</f>
        <v>Wednesday</v>
      </c>
      <c r="G285" s="3">
        <v>44965</v>
      </c>
      <c r="H285" s="4" t="s">
        <v>311</v>
      </c>
      <c r="I285" s="4" t="s">
        <v>16</v>
      </c>
      <c r="J285" s="4">
        <v>43</v>
      </c>
      <c r="K285" s="4" t="str" cm="1">
        <f t="array" ref="K285">_xlfn.IFS(J285&lt;30, "Young Adult", J285&lt;50, "Adult", J285&gt;=50, "Senior")</f>
        <v>Adult</v>
      </c>
      <c r="L285" s="4" t="s">
        <v>21</v>
      </c>
      <c r="M285" s="4">
        <v>4</v>
      </c>
      <c r="N285" s="5">
        <v>50</v>
      </c>
      <c r="O285">
        <f>M285*N285</f>
        <v>200</v>
      </c>
      <c r="P285" s="14">
        <f>O285*$S$3</f>
        <v>3</v>
      </c>
    </row>
    <row r="286" spans="1:16">
      <c r="A286" s="2">
        <v>285</v>
      </c>
      <c r="B286" s="4">
        <f>YEAR(G286)</f>
        <v>2023</v>
      </c>
      <c r="C286" s="4">
        <f>MONTH(G286)</f>
        <v>8</v>
      </c>
      <c r="D286" s="4">
        <f>DAY(G286)</f>
        <v>15</v>
      </c>
      <c r="E286" s="4" t="str">
        <f>TEXT(G286, "mmmm")</f>
        <v>August</v>
      </c>
      <c r="F286" s="4" t="str">
        <f>TEXT(G286, "dddd")</f>
        <v>Tuesday</v>
      </c>
      <c r="G286" s="3">
        <v>45153</v>
      </c>
      <c r="H286" s="4" t="s">
        <v>312</v>
      </c>
      <c r="I286" s="4" t="s">
        <v>20</v>
      </c>
      <c r="J286" s="4">
        <v>31</v>
      </c>
      <c r="K286" s="4" t="str" cm="1">
        <f t="array" ref="K286">_xlfn.IFS(J286&lt;30, "Young Adult", J286&lt;50, "Adult", J286&gt;=50, "Senior")</f>
        <v>Adult</v>
      </c>
      <c r="L286" s="4" t="s">
        <v>24</v>
      </c>
      <c r="M286" s="4">
        <v>1</v>
      </c>
      <c r="N286" s="5">
        <v>25</v>
      </c>
      <c r="O286">
        <f>M286*N286</f>
        <v>25</v>
      </c>
      <c r="P286" s="14">
        <f>O286*$S$3</f>
        <v>0.375</v>
      </c>
    </row>
    <row r="287" spans="1:16">
      <c r="A287" s="2">
        <v>286</v>
      </c>
      <c r="B287" s="4">
        <f>YEAR(G287)</f>
        <v>2023</v>
      </c>
      <c r="C287" s="4">
        <f>MONTH(G287)</f>
        <v>10</v>
      </c>
      <c r="D287" s="4">
        <f>DAY(G287)</f>
        <v>9</v>
      </c>
      <c r="E287" s="4" t="str">
        <f>TEXT(G287, "mmmm")</f>
        <v>October</v>
      </c>
      <c r="F287" s="4" t="str">
        <f>TEXT(G287, "dddd")</f>
        <v>Monday</v>
      </c>
      <c r="G287" s="3">
        <v>45208</v>
      </c>
      <c r="H287" s="4" t="s">
        <v>313</v>
      </c>
      <c r="I287" s="4" t="s">
        <v>16</v>
      </c>
      <c r="J287" s="4">
        <v>55</v>
      </c>
      <c r="K287" s="4" t="str" cm="1">
        <f t="array" ref="K287">_xlfn.IFS(J287&lt;30, "Young Adult", J287&lt;50, "Adult", J287&gt;=50, "Senior")</f>
        <v>Senior</v>
      </c>
      <c r="L287" s="4" t="s">
        <v>24</v>
      </c>
      <c r="M287" s="4">
        <v>2</v>
      </c>
      <c r="N287" s="5">
        <v>25</v>
      </c>
      <c r="O287">
        <f>M287*N287</f>
        <v>50</v>
      </c>
      <c r="P287" s="14">
        <f>O287*$S$3</f>
        <v>0.75</v>
      </c>
    </row>
    <row r="288" spans="1:16">
      <c r="A288" s="2">
        <v>287</v>
      </c>
      <c r="B288" s="4">
        <f>YEAR(G288)</f>
        <v>2023</v>
      </c>
      <c r="C288" s="4">
        <f>MONTH(G288)</f>
        <v>2</v>
      </c>
      <c r="D288" s="4">
        <f>DAY(G288)</f>
        <v>20</v>
      </c>
      <c r="E288" s="4" t="str">
        <f>TEXT(G288, "mmmm")</f>
        <v>February</v>
      </c>
      <c r="F288" s="4" t="str">
        <f>TEXT(G288, "dddd")</f>
        <v>Monday</v>
      </c>
      <c r="G288" s="3">
        <v>44977</v>
      </c>
      <c r="H288" s="4" t="s">
        <v>314</v>
      </c>
      <c r="I288" s="4" t="s">
        <v>16</v>
      </c>
      <c r="J288" s="4">
        <v>54</v>
      </c>
      <c r="K288" s="4" t="str" cm="1">
        <f t="array" ref="K288">_xlfn.IFS(J288&lt;30, "Young Adult", J288&lt;50, "Adult", J288&gt;=50, "Senior")</f>
        <v>Senior</v>
      </c>
      <c r="L288" s="4" t="s">
        <v>21</v>
      </c>
      <c r="M288" s="4">
        <v>4</v>
      </c>
      <c r="N288" s="5">
        <v>25</v>
      </c>
      <c r="O288">
        <f>M288*N288</f>
        <v>100</v>
      </c>
      <c r="P288" s="14">
        <f>O288*$S$3</f>
        <v>1.5</v>
      </c>
    </row>
    <row r="289" spans="1:16">
      <c r="A289" s="2">
        <v>288</v>
      </c>
      <c r="B289" s="4">
        <f>YEAR(G289)</f>
        <v>2023</v>
      </c>
      <c r="C289" s="4">
        <f>MONTH(G289)</f>
        <v>1</v>
      </c>
      <c r="D289" s="4">
        <f>DAY(G289)</f>
        <v>26</v>
      </c>
      <c r="E289" s="4" t="str">
        <f>TEXT(G289, "mmmm")</f>
        <v>January</v>
      </c>
      <c r="F289" s="4" t="str">
        <f>TEXT(G289, "dddd")</f>
        <v>Thursday</v>
      </c>
      <c r="G289" s="3">
        <v>44952</v>
      </c>
      <c r="H289" s="4" t="s">
        <v>315</v>
      </c>
      <c r="I289" s="4" t="s">
        <v>16</v>
      </c>
      <c r="J289" s="4">
        <v>28</v>
      </c>
      <c r="K289" s="4" t="str" cm="1">
        <f t="array" ref="K289">_xlfn.IFS(J289&lt;30, "Young Adult", J289&lt;50, "Adult", J289&gt;=50, "Senior")</f>
        <v>Young Adult</v>
      </c>
      <c r="L289" s="4" t="s">
        <v>21</v>
      </c>
      <c r="M289" s="4">
        <v>4</v>
      </c>
      <c r="N289" s="5">
        <v>30</v>
      </c>
      <c r="O289">
        <f>M289*N289</f>
        <v>120</v>
      </c>
      <c r="P289" s="14">
        <f>O289*$S$3</f>
        <v>1.7999999999999998</v>
      </c>
    </row>
    <row r="290" spans="1:16">
      <c r="A290" s="2">
        <v>289</v>
      </c>
      <c r="B290" s="4">
        <f>YEAR(G290)</f>
        <v>2023</v>
      </c>
      <c r="C290" s="4">
        <f>MONTH(G290)</f>
        <v>11</v>
      </c>
      <c r="D290" s="4">
        <f>DAY(G290)</f>
        <v>30</v>
      </c>
      <c r="E290" s="4" t="str">
        <f>TEXT(G290, "mmmm")</f>
        <v>November</v>
      </c>
      <c r="F290" s="4" t="str">
        <f>TEXT(G290, "dddd")</f>
        <v>Thursday</v>
      </c>
      <c r="G290" s="3">
        <v>45260</v>
      </c>
      <c r="H290" s="4" t="s">
        <v>316</v>
      </c>
      <c r="I290" s="4" t="s">
        <v>16</v>
      </c>
      <c r="J290" s="4">
        <v>53</v>
      </c>
      <c r="K290" s="4" t="str" cm="1">
        <f t="array" ref="K290">_xlfn.IFS(J290&lt;30, "Young Adult", J290&lt;50, "Adult", J290&gt;=50, "Senior")</f>
        <v>Senior</v>
      </c>
      <c r="L290" s="4" t="s">
        <v>24</v>
      </c>
      <c r="M290" s="4">
        <v>2</v>
      </c>
      <c r="N290" s="5">
        <v>30</v>
      </c>
      <c r="O290">
        <f>M290*N290</f>
        <v>60</v>
      </c>
      <c r="P290" s="14">
        <f>O290*$S$3</f>
        <v>0.89999999999999991</v>
      </c>
    </row>
    <row r="291" spans="1:16">
      <c r="A291" s="2">
        <v>290</v>
      </c>
      <c r="B291" s="4">
        <f>YEAR(G291)</f>
        <v>2023</v>
      </c>
      <c r="C291" s="4">
        <f>MONTH(G291)</f>
        <v>10</v>
      </c>
      <c r="D291" s="4">
        <f>DAY(G291)</f>
        <v>4</v>
      </c>
      <c r="E291" s="4" t="str">
        <f>TEXT(G291, "mmmm")</f>
        <v>October</v>
      </c>
      <c r="F291" s="4" t="str">
        <f>TEXT(G291, "dddd")</f>
        <v>Wednesday</v>
      </c>
      <c r="G291" s="3">
        <v>45203</v>
      </c>
      <c r="H291" s="4" t="s">
        <v>317</v>
      </c>
      <c r="I291" s="4" t="s">
        <v>20</v>
      </c>
      <c r="J291" s="4">
        <v>30</v>
      </c>
      <c r="K291" s="4" t="str" cm="1">
        <f t="array" ref="K291">_xlfn.IFS(J291&lt;30, "Young Adult", J291&lt;50, "Adult", J291&gt;=50, "Senior")</f>
        <v>Adult</v>
      </c>
      <c r="L291" s="4" t="s">
        <v>17</v>
      </c>
      <c r="M291" s="4">
        <v>2</v>
      </c>
      <c r="N291" s="5">
        <v>300</v>
      </c>
      <c r="O291">
        <f>M291*N291</f>
        <v>600</v>
      </c>
      <c r="P291" s="14">
        <f>O291*$S$3</f>
        <v>9</v>
      </c>
    </row>
    <row r="292" spans="1:16">
      <c r="A292" s="2">
        <v>291</v>
      </c>
      <c r="B292" s="4">
        <f>YEAR(G292)</f>
        <v>2023</v>
      </c>
      <c r="C292" s="4">
        <f>MONTH(G292)</f>
        <v>1</v>
      </c>
      <c r="D292" s="4">
        <f>DAY(G292)</f>
        <v>8</v>
      </c>
      <c r="E292" s="4" t="str">
        <f>TEXT(G292, "mmmm")</f>
        <v>January</v>
      </c>
      <c r="F292" s="4" t="str">
        <f>TEXT(G292, "dddd")</f>
        <v>Sunday</v>
      </c>
      <c r="G292" s="3">
        <v>44934</v>
      </c>
      <c r="H292" s="4" t="s">
        <v>318</v>
      </c>
      <c r="I292" s="4" t="s">
        <v>16</v>
      </c>
      <c r="J292" s="4">
        <v>60</v>
      </c>
      <c r="K292" s="4" t="str" cm="1">
        <f t="array" ref="K292">_xlfn.IFS(J292&lt;30, "Young Adult", J292&lt;50, "Adult", J292&gt;=50, "Senior")</f>
        <v>Senior</v>
      </c>
      <c r="L292" s="4" t="s">
        <v>21</v>
      </c>
      <c r="M292" s="4">
        <v>2</v>
      </c>
      <c r="N292" s="5">
        <v>300</v>
      </c>
      <c r="O292">
        <f>M292*N292</f>
        <v>600</v>
      </c>
      <c r="P292" s="14">
        <f>O292*$S$3</f>
        <v>9</v>
      </c>
    </row>
    <row r="293" spans="1:16">
      <c r="A293" s="2">
        <v>292</v>
      </c>
      <c r="B293" s="4">
        <f>YEAR(G293)</f>
        <v>2023</v>
      </c>
      <c r="C293" s="4">
        <f>MONTH(G293)</f>
        <v>2</v>
      </c>
      <c r="D293" s="4">
        <f>DAY(G293)</f>
        <v>17</v>
      </c>
      <c r="E293" s="4" t="str">
        <f>TEXT(G293, "mmmm")</f>
        <v>February</v>
      </c>
      <c r="F293" s="4" t="str">
        <f>TEXT(G293, "dddd")</f>
        <v>Friday</v>
      </c>
      <c r="G293" s="3">
        <v>44974</v>
      </c>
      <c r="H293" s="4" t="s">
        <v>319</v>
      </c>
      <c r="I293" s="4" t="s">
        <v>16</v>
      </c>
      <c r="J293" s="4">
        <v>20</v>
      </c>
      <c r="K293" s="4" t="str" cm="1">
        <f t="array" ref="K293">_xlfn.IFS(J293&lt;30, "Young Adult", J293&lt;50, "Adult", J293&gt;=50, "Senior")</f>
        <v>Young Adult</v>
      </c>
      <c r="L293" s="4" t="s">
        <v>17</v>
      </c>
      <c r="M293" s="4">
        <v>4</v>
      </c>
      <c r="N293" s="5">
        <v>300</v>
      </c>
      <c r="O293">
        <f>M293*N293</f>
        <v>1200</v>
      </c>
      <c r="P293" s="14">
        <f>O293*$S$3</f>
        <v>18</v>
      </c>
    </row>
    <row r="294" spans="1:16">
      <c r="A294" s="2">
        <v>293</v>
      </c>
      <c r="B294" s="4">
        <f>YEAR(G294)</f>
        <v>2023</v>
      </c>
      <c r="C294" s="4">
        <f>MONTH(G294)</f>
        <v>5</v>
      </c>
      <c r="D294" s="4">
        <f>DAY(G294)</f>
        <v>2</v>
      </c>
      <c r="E294" s="4" t="str">
        <f>TEXT(G294, "mmmm")</f>
        <v>May</v>
      </c>
      <c r="F294" s="4" t="str">
        <f>TEXT(G294, "dddd")</f>
        <v>Tuesday</v>
      </c>
      <c r="G294" s="3">
        <v>45048</v>
      </c>
      <c r="H294" s="4" t="s">
        <v>320</v>
      </c>
      <c r="I294" s="4" t="s">
        <v>16</v>
      </c>
      <c r="J294" s="4">
        <v>50</v>
      </c>
      <c r="K294" s="4" t="str" cm="1">
        <f t="array" ref="K294">_xlfn.IFS(J294&lt;30, "Young Adult", J294&lt;50, "Adult", J294&gt;=50, "Senior")</f>
        <v>Senior</v>
      </c>
      <c r="L294" s="4" t="s">
        <v>24</v>
      </c>
      <c r="M294" s="4">
        <v>3</v>
      </c>
      <c r="N294" s="5">
        <v>30</v>
      </c>
      <c r="O294">
        <f>M294*N294</f>
        <v>90</v>
      </c>
      <c r="P294" s="14">
        <f>O294*$S$3</f>
        <v>1.3499999999999999</v>
      </c>
    </row>
    <row r="295" spans="1:16">
      <c r="A295" s="2">
        <v>294</v>
      </c>
      <c r="B295" s="4">
        <f>YEAR(G295)</f>
        <v>2023</v>
      </c>
      <c r="C295" s="4">
        <f>MONTH(G295)</f>
        <v>3</v>
      </c>
      <c r="D295" s="4">
        <f>DAY(G295)</f>
        <v>27</v>
      </c>
      <c r="E295" s="4" t="str">
        <f>TEXT(G295, "mmmm")</f>
        <v>March</v>
      </c>
      <c r="F295" s="4" t="str">
        <f>TEXT(G295, "dddd")</f>
        <v>Monday</v>
      </c>
      <c r="G295" s="3">
        <v>45012</v>
      </c>
      <c r="H295" s="4" t="s">
        <v>321</v>
      </c>
      <c r="I295" s="4" t="s">
        <v>20</v>
      </c>
      <c r="J295" s="4">
        <v>23</v>
      </c>
      <c r="K295" s="4" t="str" cm="1">
        <f t="array" ref="K295">_xlfn.IFS(J295&lt;30, "Young Adult", J295&lt;50, "Adult", J295&gt;=50, "Senior")</f>
        <v>Young Adult</v>
      </c>
      <c r="L295" s="4" t="s">
        <v>21</v>
      </c>
      <c r="M295" s="4">
        <v>3</v>
      </c>
      <c r="N295" s="5">
        <v>30</v>
      </c>
      <c r="O295">
        <f>M295*N295</f>
        <v>90</v>
      </c>
      <c r="P295" s="14">
        <f>O295*$S$3</f>
        <v>1.3499999999999999</v>
      </c>
    </row>
    <row r="296" spans="1:16">
      <c r="A296" s="2">
        <v>295</v>
      </c>
      <c r="B296" s="4">
        <f>YEAR(G296)</f>
        <v>2023</v>
      </c>
      <c r="C296" s="4">
        <f>MONTH(G296)</f>
        <v>7</v>
      </c>
      <c r="D296" s="4">
        <f>DAY(G296)</f>
        <v>28</v>
      </c>
      <c r="E296" s="4" t="str">
        <f>TEXT(G296, "mmmm")</f>
        <v>July</v>
      </c>
      <c r="F296" s="4" t="str">
        <f>TEXT(G296, "dddd")</f>
        <v>Friday</v>
      </c>
      <c r="G296" s="3">
        <v>45135</v>
      </c>
      <c r="H296" s="4" t="s">
        <v>322</v>
      </c>
      <c r="I296" s="4" t="s">
        <v>20</v>
      </c>
      <c r="J296" s="4">
        <v>27</v>
      </c>
      <c r="K296" s="4" t="str" cm="1">
        <f t="array" ref="K296">_xlfn.IFS(J296&lt;30, "Young Adult", J296&lt;50, "Adult", J296&gt;=50, "Senior")</f>
        <v>Young Adult</v>
      </c>
      <c r="L296" s="4" t="s">
        <v>17</v>
      </c>
      <c r="M296" s="4">
        <v>3</v>
      </c>
      <c r="N296" s="5">
        <v>300</v>
      </c>
      <c r="O296">
        <f>M296*N296</f>
        <v>900</v>
      </c>
      <c r="P296" s="14">
        <f>O296*$S$3</f>
        <v>13.5</v>
      </c>
    </row>
    <row r="297" spans="1:16">
      <c r="A297" s="2">
        <v>296</v>
      </c>
      <c r="B297" s="4">
        <f>YEAR(G297)</f>
        <v>2023</v>
      </c>
      <c r="C297" s="4">
        <f>MONTH(G297)</f>
        <v>9</v>
      </c>
      <c r="D297" s="4">
        <f>DAY(G297)</f>
        <v>6</v>
      </c>
      <c r="E297" s="4" t="str">
        <f>TEXT(G297, "mmmm")</f>
        <v>September</v>
      </c>
      <c r="F297" s="4" t="str">
        <f>TEXT(G297, "dddd")</f>
        <v>Wednesday</v>
      </c>
      <c r="G297" s="3">
        <v>45175</v>
      </c>
      <c r="H297" s="4" t="s">
        <v>323</v>
      </c>
      <c r="I297" s="4" t="s">
        <v>20</v>
      </c>
      <c r="J297" s="4">
        <v>22</v>
      </c>
      <c r="K297" s="4" t="str" cm="1">
        <f t="array" ref="K297">_xlfn.IFS(J297&lt;30, "Young Adult", J297&lt;50, "Adult", J297&gt;=50, "Senior")</f>
        <v>Young Adult</v>
      </c>
      <c r="L297" s="4" t="s">
        <v>21</v>
      </c>
      <c r="M297" s="4">
        <v>4</v>
      </c>
      <c r="N297" s="5">
        <v>300</v>
      </c>
      <c r="O297">
        <f>M297*N297</f>
        <v>1200</v>
      </c>
      <c r="P297" s="14">
        <f>O297*$S$3</f>
        <v>18</v>
      </c>
    </row>
    <row r="298" spans="1:16">
      <c r="A298" s="2">
        <v>297</v>
      </c>
      <c r="B298" s="4">
        <f>YEAR(G298)</f>
        <v>2023</v>
      </c>
      <c r="C298" s="4">
        <f>MONTH(G298)</f>
        <v>9</v>
      </c>
      <c r="D298" s="4">
        <f>DAY(G298)</f>
        <v>4</v>
      </c>
      <c r="E298" s="4" t="str">
        <f>TEXT(G298, "mmmm")</f>
        <v>September</v>
      </c>
      <c r="F298" s="4" t="str">
        <f>TEXT(G298, "dddd")</f>
        <v>Monday</v>
      </c>
      <c r="G298" s="3">
        <v>45173</v>
      </c>
      <c r="H298" s="4" t="s">
        <v>324</v>
      </c>
      <c r="I298" s="4" t="s">
        <v>20</v>
      </c>
      <c r="J298" s="4">
        <v>40</v>
      </c>
      <c r="K298" s="4" t="str" cm="1">
        <f t="array" ref="K298">_xlfn.IFS(J298&lt;30, "Young Adult", J298&lt;50, "Adult", J298&gt;=50, "Senior")</f>
        <v>Adult</v>
      </c>
      <c r="L298" s="4" t="s">
        <v>24</v>
      </c>
      <c r="M298" s="4">
        <v>2</v>
      </c>
      <c r="N298" s="5">
        <v>500</v>
      </c>
      <c r="O298">
        <f>M298*N298</f>
        <v>1000</v>
      </c>
      <c r="P298" s="14">
        <f>O298*$S$3</f>
        <v>15</v>
      </c>
    </row>
    <row r="299" spans="1:16">
      <c r="A299" s="2">
        <v>298</v>
      </c>
      <c r="B299" s="4">
        <f>YEAR(G299)</f>
        <v>2023</v>
      </c>
      <c r="C299" s="4">
        <f>MONTH(G299)</f>
        <v>4</v>
      </c>
      <c r="D299" s="4">
        <f>DAY(G299)</f>
        <v>20</v>
      </c>
      <c r="E299" s="4" t="str">
        <f>TEXT(G299, "mmmm")</f>
        <v>April</v>
      </c>
      <c r="F299" s="4" t="str">
        <f>TEXT(G299, "dddd")</f>
        <v>Thursday</v>
      </c>
      <c r="G299" s="3">
        <v>45036</v>
      </c>
      <c r="H299" s="4" t="s">
        <v>325</v>
      </c>
      <c r="I299" s="4" t="s">
        <v>16</v>
      </c>
      <c r="J299" s="4">
        <v>27</v>
      </c>
      <c r="K299" s="4" t="str" cm="1">
        <f t="array" ref="K299">_xlfn.IFS(J299&lt;30, "Young Adult", J299&lt;50, "Adult", J299&gt;=50, "Senior")</f>
        <v>Young Adult</v>
      </c>
      <c r="L299" s="4" t="s">
        <v>17</v>
      </c>
      <c r="M299" s="4">
        <v>4</v>
      </c>
      <c r="N299" s="5">
        <v>300</v>
      </c>
      <c r="O299">
        <f>M299*N299</f>
        <v>1200</v>
      </c>
      <c r="P299" s="14">
        <f>O299*$S$3</f>
        <v>18</v>
      </c>
    </row>
    <row r="300" spans="1:16">
      <c r="A300" s="2">
        <v>299</v>
      </c>
      <c r="B300" s="4">
        <f>YEAR(G300)</f>
        <v>2023</v>
      </c>
      <c r="C300" s="4">
        <f>MONTH(G300)</f>
        <v>7</v>
      </c>
      <c r="D300" s="4">
        <f>DAY(G300)</f>
        <v>25</v>
      </c>
      <c r="E300" s="4" t="str">
        <f>TEXT(G300, "mmmm")</f>
        <v>July</v>
      </c>
      <c r="F300" s="4" t="str">
        <f>TEXT(G300, "dddd")</f>
        <v>Tuesday</v>
      </c>
      <c r="G300" s="3">
        <v>45132</v>
      </c>
      <c r="H300" s="4" t="s">
        <v>326</v>
      </c>
      <c r="I300" s="4" t="s">
        <v>16</v>
      </c>
      <c r="J300" s="4">
        <v>61</v>
      </c>
      <c r="K300" s="4" t="str" cm="1">
        <f t="array" ref="K300">_xlfn.IFS(J300&lt;30, "Young Adult", J300&lt;50, "Adult", J300&gt;=50, "Senior")</f>
        <v>Senior</v>
      </c>
      <c r="L300" s="4" t="s">
        <v>24</v>
      </c>
      <c r="M300" s="4">
        <v>2</v>
      </c>
      <c r="N300" s="5">
        <v>500</v>
      </c>
      <c r="O300">
        <f>M300*N300</f>
        <v>1000</v>
      </c>
      <c r="P300" s="14">
        <f>O300*$S$3</f>
        <v>15</v>
      </c>
    </row>
    <row r="301" spans="1:16">
      <c r="A301" s="2">
        <v>300</v>
      </c>
      <c r="B301" s="4">
        <f>YEAR(G301)</f>
        <v>2023</v>
      </c>
      <c r="C301" s="4">
        <f>MONTH(G301)</f>
        <v>1</v>
      </c>
      <c r="D301" s="4">
        <f>DAY(G301)</f>
        <v>31</v>
      </c>
      <c r="E301" s="4" t="str">
        <f>TEXT(G301, "mmmm")</f>
        <v>January</v>
      </c>
      <c r="F301" s="4" t="str">
        <f>TEXT(G301, "dddd")</f>
        <v>Tuesday</v>
      </c>
      <c r="G301" s="3">
        <v>44957</v>
      </c>
      <c r="H301" s="4" t="s">
        <v>327</v>
      </c>
      <c r="I301" s="4" t="s">
        <v>20</v>
      </c>
      <c r="J301" s="4">
        <v>19</v>
      </c>
      <c r="K301" s="4" t="str" cm="1">
        <f t="array" ref="K301">_xlfn.IFS(J301&lt;30, "Young Adult", J301&lt;50, "Adult", J301&gt;=50, "Senior")</f>
        <v>Young Adult</v>
      </c>
      <c r="L301" s="4" t="s">
        <v>24</v>
      </c>
      <c r="M301" s="4">
        <v>4</v>
      </c>
      <c r="N301" s="5">
        <v>50</v>
      </c>
      <c r="O301">
        <f>M301*N301</f>
        <v>200</v>
      </c>
      <c r="P301" s="14">
        <f>O301*$S$3</f>
        <v>3</v>
      </c>
    </row>
    <row r="302" spans="1:16">
      <c r="A302" s="2">
        <v>301</v>
      </c>
      <c r="B302" s="4">
        <f>YEAR(G302)</f>
        <v>2023</v>
      </c>
      <c r="C302" s="4">
        <f>MONTH(G302)</f>
        <v>3</v>
      </c>
      <c r="D302" s="4">
        <f>DAY(G302)</f>
        <v>26</v>
      </c>
      <c r="E302" s="4" t="str">
        <f>TEXT(G302, "mmmm")</f>
        <v>March</v>
      </c>
      <c r="F302" s="4" t="str">
        <f>TEXT(G302, "dddd")</f>
        <v>Sunday</v>
      </c>
      <c r="G302" s="3">
        <v>45011</v>
      </c>
      <c r="H302" s="4" t="s">
        <v>328</v>
      </c>
      <c r="I302" s="4" t="s">
        <v>16</v>
      </c>
      <c r="J302" s="4">
        <v>30</v>
      </c>
      <c r="K302" s="4" t="str" cm="1">
        <f t="array" ref="K302">_xlfn.IFS(J302&lt;30, "Young Adult", J302&lt;50, "Adult", J302&gt;=50, "Senior")</f>
        <v>Adult</v>
      </c>
      <c r="L302" s="4" t="s">
        <v>21</v>
      </c>
      <c r="M302" s="4">
        <v>4</v>
      </c>
      <c r="N302" s="5">
        <v>30</v>
      </c>
      <c r="O302">
        <f>M302*N302</f>
        <v>120</v>
      </c>
      <c r="P302" s="14">
        <f>O302*$S$3</f>
        <v>1.7999999999999998</v>
      </c>
    </row>
    <row r="303" spans="1:16">
      <c r="A303" s="2">
        <v>302</v>
      </c>
      <c r="B303" s="4">
        <f>YEAR(G303)</f>
        <v>2023</v>
      </c>
      <c r="C303" s="4">
        <f>MONTH(G303)</f>
        <v>7</v>
      </c>
      <c r="D303" s="4">
        <f>DAY(G303)</f>
        <v>14</v>
      </c>
      <c r="E303" s="4" t="str">
        <f>TEXT(G303, "mmmm")</f>
        <v>July</v>
      </c>
      <c r="F303" s="4" t="str">
        <f>TEXT(G303, "dddd")</f>
        <v>Friday</v>
      </c>
      <c r="G303" s="3">
        <v>45121</v>
      </c>
      <c r="H303" s="4" t="s">
        <v>329</v>
      </c>
      <c r="I303" s="4" t="s">
        <v>16</v>
      </c>
      <c r="J303" s="4">
        <v>57</v>
      </c>
      <c r="K303" s="4" t="str" cm="1">
        <f t="array" ref="K303">_xlfn.IFS(J303&lt;30, "Young Adult", J303&lt;50, "Adult", J303&gt;=50, "Senior")</f>
        <v>Senior</v>
      </c>
      <c r="L303" s="4" t="s">
        <v>17</v>
      </c>
      <c r="M303" s="4">
        <v>2</v>
      </c>
      <c r="N303" s="5">
        <v>300</v>
      </c>
      <c r="O303">
        <f>M303*N303</f>
        <v>600</v>
      </c>
      <c r="P303" s="14">
        <f>O303*$S$3</f>
        <v>9</v>
      </c>
    </row>
    <row r="304" spans="1:16">
      <c r="A304" s="2">
        <v>303</v>
      </c>
      <c r="B304" s="4">
        <f>YEAR(G304)</f>
        <v>2023</v>
      </c>
      <c r="C304" s="4">
        <f>MONTH(G304)</f>
        <v>1</v>
      </c>
      <c r="D304" s="4">
        <f>DAY(G304)</f>
        <v>2</v>
      </c>
      <c r="E304" s="4" t="str">
        <f>TEXT(G304, "mmmm")</f>
        <v>January</v>
      </c>
      <c r="F304" s="4" t="str">
        <f>TEXT(G304, "dddd")</f>
        <v>Monday</v>
      </c>
      <c r="G304" s="3">
        <v>44928</v>
      </c>
      <c r="H304" s="4" t="s">
        <v>330</v>
      </c>
      <c r="I304" s="4" t="s">
        <v>16</v>
      </c>
      <c r="J304" s="4">
        <v>19</v>
      </c>
      <c r="K304" s="4" t="str" cm="1">
        <f t="array" ref="K304">_xlfn.IFS(J304&lt;30, "Young Adult", J304&lt;50, "Adult", J304&gt;=50, "Senior")</f>
        <v>Young Adult</v>
      </c>
      <c r="L304" s="4" t="s">
        <v>24</v>
      </c>
      <c r="M304" s="4">
        <v>3</v>
      </c>
      <c r="N304" s="5">
        <v>30</v>
      </c>
      <c r="O304">
        <f>M304*N304</f>
        <v>90</v>
      </c>
      <c r="P304" s="14">
        <f>O304*$S$3</f>
        <v>1.3499999999999999</v>
      </c>
    </row>
    <row r="305" spans="1:16">
      <c r="A305" s="2">
        <v>304</v>
      </c>
      <c r="B305" s="4">
        <f>YEAR(G305)</f>
        <v>2023</v>
      </c>
      <c r="C305" s="4">
        <f>MONTH(G305)</f>
        <v>7</v>
      </c>
      <c r="D305" s="4">
        <f>DAY(G305)</f>
        <v>19</v>
      </c>
      <c r="E305" s="4" t="str">
        <f>TEXT(G305, "mmmm")</f>
        <v>July</v>
      </c>
      <c r="F305" s="4" t="str">
        <f>TEXT(G305, "dddd")</f>
        <v>Wednesday</v>
      </c>
      <c r="G305" s="3">
        <v>45126</v>
      </c>
      <c r="H305" s="4" t="s">
        <v>331</v>
      </c>
      <c r="I305" s="4" t="s">
        <v>20</v>
      </c>
      <c r="J305" s="4">
        <v>37</v>
      </c>
      <c r="K305" s="4" t="str" cm="1">
        <f t="array" ref="K305">_xlfn.IFS(J305&lt;30, "Young Adult", J305&lt;50, "Adult", J305&gt;=50, "Senior")</f>
        <v>Adult</v>
      </c>
      <c r="L305" s="4" t="s">
        <v>24</v>
      </c>
      <c r="M305" s="4">
        <v>2</v>
      </c>
      <c r="N305" s="5">
        <v>30</v>
      </c>
      <c r="O305">
        <f>M305*N305</f>
        <v>60</v>
      </c>
      <c r="P305" s="14">
        <f>O305*$S$3</f>
        <v>0.89999999999999991</v>
      </c>
    </row>
    <row r="306" spans="1:16">
      <c r="A306" s="2">
        <v>305</v>
      </c>
      <c r="B306" s="4">
        <f>YEAR(G306)</f>
        <v>2023</v>
      </c>
      <c r="C306" s="4">
        <f>MONTH(G306)</f>
        <v>5</v>
      </c>
      <c r="D306" s="4">
        <f>DAY(G306)</f>
        <v>16</v>
      </c>
      <c r="E306" s="4" t="str">
        <f>TEXT(G306, "mmmm")</f>
        <v>May</v>
      </c>
      <c r="F306" s="4" t="str">
        <f>TEXT(G306, "dddd")</f>
        <v>Tuesday</v>
      </c>
      <c r="G306" s="3">
        <v>45062</v>
      </c>
      <c r="H306" s="4" t="s">
        <v>332</v>
      </c>
      <c r="I306" s="4" t="s">
        <v>20</v>
      </c>
      <c r="J306" s="4">
        <v>18</v>
      </c>
      <c r="K306" s="4" t="str" cm="1">
        <f t="array" ref="K306">_xlfn.IFS(J306&lt;30, "Young Adult", J306&lt;50, "Adult", J306&gt;=50, "Senior")</f>
        <v>Young Adult</v>
      </c>
      <c r="L306" s="4" t="s">
        <v>17</v>
      </c>
      <c r="M306" s="4">
        <v>1</v>
      </c>
      <c r="N306" s="5">
        <v>30</v>
      </c>
      <c r="O306">
        <f>M306*N306</f>
        <v>30</v>
      </c>
      <c r="P306" s="14">
        <f>O306*$S$3</f>
        <v>0.44999999999999996</v>
      </c>
    </row>
    <row r="307" spans="1:16">
      <c r="A307" s="2">
        <v>306</v>
      </c>
      <c r="B307" s="4">
        <f>YEAR(G307)</f>
        <v>2023</v>
      </c>
      <c r="C307" s="4">
        <f>MONTH(G307)</f>
        <v>8</v>
      </c>
      <c r="D307" s="4">
        <f>DAY(G307)</f>
        <v>21</v>
      </c>
      <c r="E307" s="4" t="str">
        <f>TEXT(G307, "mmmm")</f>
        <v>August</v>
      </c>
      <c r="F307" s="4" t="str">
        <f>TEXT(G307, "dddd")</f>
        <v>Monday</v>
      </c>
      <c r="G307" s="3">
        <v>45159</v>
      </c>
      <c r="H307" s="4" t="s">
        <v>333</v>
      </c>
      <c r="I307" s="4" t="s">
        <v>16</v>
      </c>
      <c r="J307" s="4">
        <v>54</v>
      </c>
      <c r="K307" s="4" t="str" cm="1">
        <f t="array" ref="K307">_xlfn.IFS(J307&lt;30, "Young Adult", J307&lt;50, "Adult", J307&gt;=50, "Senior")</f>
        <v>Senior</v>
      </c>
      <c r="L307" s="4" t="s">
        <v>24</v>
      </c>
      <c r="M307" s="4">
        <v>1</v>
      </c>
      <c r="N307" s="5">
        <v>50</v>
      </c>
      <c r="O307">
        <f>M307*N307</f>
        <v>50</v>
      </c>
      <c r="P307" s="14">
        <f>O307*$S$3</f>
        <v>0.75</v>
      </c>
    </row>
    <row r="308" spans="1:16">
      <c r="A308" s="2">
        <v>307</v>
      </c>
      <c r="B308" s="4">
        <f>YEAR(G308)</f>
        <v>2023</v>
      </c>
      <c r="C308" s="4">
        <f>MONTH(G308)</f>
        <v>5</v>
      </c>
      <c r="D308" s="4">
        <f>DAY(G308)</f>
        <v>27</v>
      </c>
      <c r="E308" s="4" t="str">
        <f>TEXT(G308, "mmmm")</f>
        <v>May</v>
      </c>
      <c r="F308" s="4" t="str">
        <f>TEXT(G308, "dddd")</f>
        <v>Saturday</v>
      </c>
      <c r="G308" s="3">
        <v>45073</v>
      </c>
      <c r="H308" s="4" t="s">
        <v>334</v>
      </c>
      <c r="I308" s="4" t="s">
        <v>20</v>
      </c>
      <c r="J308" s="4">
        <v>26</v>
      </c>
      <c r="K308" s="4" t="str" cm="1">
        <f t="array" ref="K308">_xlfn.IFS(J308&lt;30, "Young Adult", J308&lt;50, "Adult", J308&gt;=50, "Senior")</f>
        <v>Young Adult</v>
      </c>
      <c r="L308" s="4" t="s">
        <v>24</v>
      </c>
      <c r="M308" s="4">
        <v>2</v>
      </c>
      <c r="N308" s="5">
        <v>25</v>
      </c>
      <c r="O308">
        <f>M308*N308</f>
        <v>50</v>
      </c>
      <c r="P308" s="14">
        <f>O308*$S$3</f>
        <v>0.75</v>
      </c>
    </row>
    <row r="309" spans="1:16">
      <c r="A309" s="2">
        <v>308</v>
      </c>
      <c r="B309" s="4">
        <f>YEAR(G309)</f>
        <v>2023</v>
      </c>
      <c r="C309" s="4">
        <f>MONTH(G309)</f>
        <v>8</v>
      </c>
      <c r="D309" s="4">
        <f>DAY(G309)</f>
        <v>5</v>
      </c>
      <c r="E309" s="4" t="str">
        <f>TEXT(G309, "mmmm")</f>
        <v>August</v>
      </c>
      <c r="F309" s="4" t="str">
        <f>TEXT(G309, "dddd")</f>
        <v>Saturday</v>
      </c>
      <c r="G309" s="3">
        <v>45143</v>
      </c>
      <c r="H309" s="4" t="s">
        <v>335</v>
      </c>
      <c r="I309" s="4" t="s">
        <v>20</v>
      </c>
      <c r="J309" s="4">
        <v>34</v>
      </c>
      <c r="K309" s="4" t="str" cm="1">
        <f t="array" ref="K309">_xlfn.IFS(J309&lt;30, "Young Adult", J309&lt;50, "Adult", J309&gt;=50, "Senior")</f>
        <v>Adult</v>
      </c>
      <c r="L309" s="4" t="s">
        <v>17</v>
      </c>
      <c r="M309" s="4">
        <v>4</v>
      </c>
      <c r="N309" s="5">
        <v>300</v>
      </c>
      <c r="O309">
        <f>M309*N309</f>
        <v>1200</v>
      </c>
      <c r="P309" s="14">
        <f>O309*$S$3</f>
        <v>18</v>
      </c>
    </row>
    <row r="310" spans="1:16">
      <c r="A310" s="2">
        <v>309</v>
      </c>
      <c r="B310" s="4">
        <f>YEAR(G310)</f>
        <v>2023</v>
      </c>
      <c r="C310" s="4">
        <f>MONTH(G310)</f>
        <v>12</v>
      </c>
      <c r="D310" s="4">
        <f>DAY(G310)</f>
        <v>23</v>
      </c>
      <c r="E310" s="4" t="str">
        <f>TEXT(G310, "mmmm")</f>
        <v>December</v>
      </c>
      <c r="F310" s="4" t="str">
        <f>TEXT(G310, "dddd")</f>
        <v>Saturday</v>
      </c>
      <c r="G310" s="3">
        <v>45283</v>
      </c>
      <c r="H310" s="4" t="s">
        <v>336</v>
      </c>
      <c r="I310" s="4" t="s">
        <v>20</v>
      </c>
      <c r="J310" s="4">
        <v>26</v>
      </c>
      <c r="K310" s="4" t="str" cm="1">
        <f t="array" ref="K310">_xlfn.IFS(J310&lt;30, "Young Adult", J310&lt;50, "Adult", J310&gt;=50, "Senior")</f>
        <v>Young Adult</v>
      </c>
      <c r="L310" s="4" t="s">
        <v>17</v>
      </c>
      <c r="M310" s="4">
        <v>1</v>
      </c>
      <c r="N310" s="5">
        <v>25</v>
      </c>
      <c r="O310">
        <f>M310*N310</f>
        <v>25</v>
      </c>
      <c r="P310" s="14">
        <f>O310*$S$3</f>
        <v>0.375</v>
      </c>
    </row>
    <row r="311" spans="1:16">
      <c r="A311" s="2">
        <v>310</v>
      </c>
      <c r="B311" s="4">
        <f>YEAR(G311)</f>
        <v>2023</v>
      </c>
      <c r="C311" s="4">
        <f>MONTH(G311)</f>
        <v>10</v>
      </c>
      <c r="D311" s="4">
        <f>DAY(G311)</f>
        <v>12</v>
      </c>
      <c r="E311" s="4" t="str">
        <f>TEXT(G311, "mmmm")</f>
        <v>October</v>
      </c>
      <c r="F311" s="4" t="str">
        <f>TEXT(G311, "dddd")</f>
        <v>Thursday</v>
      </c>
      <c r="G311" s="3">
        <v>45211</v>
      </c>
      <c r="H311" s="4" t="s">
        <v>337</v>
      </c>
      <c r="I311" s="4" t="s">
        <v>20</v>
      </c>
      <c r="J311" s="4">
        <v>28</v>
      </c>
      <c r="K311" s="4" t="str" cm="1">
        <f t="array" ref="K311">_xlfn.IFS(J311&lt;30, "Young Adult", J311&lt;50, "Adult", J311&gt;=50, "Senior")</f>
        <v>Young Adult</v>
      </c>
      <c r="L311" s="4" t="s">
        <v>17</v>
      </c>
      <c r="M311" s="4">
        <v>1</v>
      </c>
      <c r="N311" s="5">
        <v>25</v>
      </c>
      <c r="O311">
        <f>M311*N311</f>
        <v>25</v>
      </c>
      <c r="P311" s="14">
        <f>O311*$S$3</f>
        <v>0.375</v>
      </c>
    </row>
    <row r="312" spans="1:16">
      <c r="A312" s="2">
        <v>311</v>
      </c>
      <c r="B312" s="4">
        <f>YEAR(G312)</f>
        <v>2023</v>
      </c>
      <c r="C312" s="4">
        <f>MONTH(G312)</f>
        <v>12</v>
      </c>
      <c r="D312" s="4">
        <f>DAY(G312)</f>
        <v>5</v>
      </c>
      <c r="E312" s="4" t="str">
        <f>TEXT(G312, "mmmm")</f>
        <v>December</v>
      </c>
      <c r="F312" s="4" t="str">
        <f>TEXT(G312, "dddd")</f>
        <v>Tuesday</v>
      </c>
      <c r="G312" s="3">
        <v>45265</v>
      </c>
      <c r="H312" s="4" t="s">
        <v>338</v>
      </c>
      <c r="I312" s="4" t="s">
        <v>20</v>
      </c>
      <c r="J312" s="4">
        <v>32</v>
      </c>
      <c r="K312" s="4" t="str" cm="1">
        <f t="array" ref="K312">_xlfn.IFS(J312&lt;30, "Young Adult", J312&lt;50, "Adult", J312&gt;=50, "Senior")</f>
        <v>Adult</v>
      </c>
      <c r="L312" s="4" t="s">
        <v>17</v>
      </c>
      <c r="M312" s="4">
        <v>4</v>
      </c>
      <c r="N312" s="5">
        <v>25</v>
      </c>
      <c r="O312">
        <f>M312*N312</f>
        <v>100</v>
      </c>
      <c r="P312" s="14">
        <f>O312*$S$3</f>
        <v>1.5</v>
      </c>
    </row>
    <row r="313" spans="1:16">
      <c r="A313" s="2">
        <v>312</v>
      </c>
      <c r="B313" s="4">
        <f>YEAR(G313)</f>
        <v>2023</v>
      </c>
      <c r="C313" s="4">
        <f>MONTH(G313)</f>
        <v>9</v>
      </c>
      <c r="D313" s="4">
        <f>DAY(G313)</f>
        <v>7</v>
      </c>
      <c r="E313" s="4" t="str">
        <f>TEXT(G313, "mmmm")</f>
        <v>September</v>
      </c>
      <c r="F313" s="4" t="str">
        <f>TEXT(G313, "dddd")</f>
        <v>Thursday</v>
      </c>
      <c r="G313" s="3">
        <v>45176</v>
      </c>
      <c r="H313" s="4" t="s">
        <v>339</v>
      </c>
      <c r="I313" s="4" t="s">
        <v>16</v>
      </c>
      <c r="J313" s="4">
        <v>41</v>
      </c>
      <c r="K313" s="4" t="str" cm="1">
        <f t="array" ref="K313">_xlfn.IFS(J313&lt;30, "Young Adult", J313&lt;50, "Adult", J313&gt;=50, "Senior")</f>
        <v>Adult</v>
      </c>
      <c r="L313" s="4" t="s">
        <v>21</v>
      </c>
      <c r="M313" s="4">
        <v>4</v>
      </c>
      <c r="N313" s="5">
        <v>30</v>
      </c>
      <c r="O313">
        <f>M313*N313</f>
        <v>120</v>
      </c>
      <c r="P313" s="14">
        <f>O313*$S$3</f>
        <v>1.7999999999999998</v>
      </c>
    </row>
    <row r="314" spans="1:16">
      <c r="A314" s="2">
        <v>313</v>
      </c>
      <c r="B314" s="4">
        <f>YEAR(G314)</f>
        <v>2023</v>
      </c>
      <c r="C314" s="4">
        <f>MONTH(G314)</f>
        <v>3</v>
      </c>
      <c r="D314" s="4">
        <f>DAY(G314)</f>
        <v>21</v>
      </c>
      <c r="E314" s="4" t="str">
        <f>TEXT(G314, "mmmm")</f>
        <v>March</v>
      </c>
      <c r="F314" s="4" t="str">
        <f>TEXT(G314, "dddd")</f>
        <v>Tuesday</v>
      </c>
      <c r="G314" s="3">
        <v>45006</v>
      </c>
      <c r="H314" s="4" t="s">
        <v>340</v>
      </c>
      <c r="I314" s="4" t="s">
        <v>20</v>
      </c>
      <c r="J314" s="4">
        <v>55</v>
      </c>
      <c r="K314" s="4" t="str" cm="1">
        <f t="array" ref="K314">_xlfn.IFS(J314&lt;30, "Young Adult", J314&lt;50, "Adult", J314&gt;=50, "Senior")</f>
        <v>Senior</v>
      </c>
      <c r="L314" s="4" t="s">
        <v>17</v>
      </c>
      <c r="M314" s="4">
        <v>3</v>
      </c>
      <c r="N314" s="5">
        <v>500</v>
      </c>
      <c r="O314">
        <f>M314*N314</f>
        <v>1500</v>
      </c>
      <c r="P314" s="14">
        <f>O314*$S$3</f>
        <v>22.5</v>
      </c>
    </row>
    <row r="315" spans="1:16">
      <c r="A315" s="2">
        <v>314</v>
      </c>
      <c r="B315" s="4">
        <f>YEAR(G315)</f>
        <v>2023</v>
      </c>
      <c r="C315" s="4">
        <f>MONTH(G315)</f>
        <v>4</v>
      </c>
      <c r="D315" s="4">
        <f>DAY(G315)</f>
        <v>8</v>
      </c>
      <c r="E315" s="4" t="str">
        <f>TEXT(G315, "mmmm")</f>
        <v>April</v>
      </c>
      <c r="F315" s="4" t="str">
        <f>TEXT(G315, "dddd")</f>
        <v>Saturday</v>
      </c>
      <c r="G315" s="3">
        <v>45024</v>
      </c>
      <c r="H315" s="4" t="s">
        <v>341</v>
      </c>
      <c r="I315" s="4" t="s">
        <v>16</v>
      </c>
      <c r="J315" s="4">
        <v>52</v>
      </c>
      <c r="K315" s="4" t="str" cm="1">
        <f t="array" ref="K315">_xlfn.IFS(J315&lt;30, "Young Adult", J315&lt;50, "Adult", J315&gt;=50, "Senior")</f>
        <v>Senior</v>
      </c>
      <c r="L315" s="4" t="s">
        <v>21</v>
      </c>
      <c r="M315" s="4">
        <v>4</v>
      </c>
      <c r="N315" s="5">
        <v>30</v>
      </c>
      <c r="O315">
        <f>M315*N315</f>
        <v>120</v>
      </c>
      <c r="P315" s="14">
        <f>O315*$S$3</f>
        <v>1.7999999999999998</v>
      </c>
    </row>
    <row r="316" spans="1:16">
      <c r="A316" s="2">
        <v>315</v>
      </c>
      <c r="B316" s="4">
        <f>YEAR(G316)</f>
        <v>2023</v>
      </c>
      <c r="C316" s="4">
        <f>MONTH(G316)</f>
        <v>6</v>
      </c>
      <c r="D316" s="4">
        <f>DAY(G316)</f>
        <v>1</v>
      </c>
      <c r="E316" s="4" t="str">
        <f>TEXT(G316, "mmmm")</f>
        <v>June</v>
      </c>
      <c r="F316" s="4" t="str">
        <f>TEXT(G316, "dddd")</f>
        <v>Thursday</v>
      </c>
      <c r="G316" s="3">
        <v>45078</v>
      </c>
      <c r="H316" s="4" t="s">
        <v>342</v>
      </c>
      <c r="I316" s="4" t="s">
        <v>16</v>
      </c>
      <c r="J316" s="4">
        <v>47</v>
      </c>
      <c r="K316" s="4" t="str" cm="1">
        <f t="array" ref="K316">_xlfn.IFS(J316&lt;30, "Young Adult", J316&lt;50, "Adult", J316&gt;=50, "Senior")</f>
        <v>Adult</v>
      </c>
      <c r="L316" s="4" t="s">
        <v>21</v>
      </c>
      <c r="M316" s="4">
        <v>2</v>
      </c>
      <c r="N316" s="5">
        <v>30</v>
      </c>
      <c r="O316">
        <f>M316*N316</f>
        <v>60</v>
      </c>
      <c r="P316" s="14">
        <f>O316*$S$3</f>
        <v>0.89999999999999991</v>
      </c>
    </row>
    <row r="317" spans="1:16">
      <c r="A317" s="2">
        <v>316</v>
      </c>
      <c r="B317" s="4">
        <f>YEAR(G317)</f>
        <v>2023</v>
      </c>
      <c r="C317" s="4">
        <f>MONTH(G317)</f>
        <v>4</v>
      </c>
      <c r="D317" s="4">
        <f>DAY(G317)</f>
        <v>22</v>
      </c>
      <c r="E317" s="4" t="str">
        <f>TEXT(G317, "mmmm")</f>
        <v>April</v>
      </c>
      <c r="F317" s="4" t="str">
        <f>TEXT(G317, "dddd")</f>
        <v>Saturday</v>
      </c>
      <c r="G317" s="3">
        <v>45038</v>
      </c>
      <c r="H317" s="4" t="s">
        <v>343</v>
      </c>
      <c r="I317" s="4" t="s">
        <v>20</v>
      </c>
      <c r="J317" s="4">
        <v>48</v>
      </c>
      <c r="K317" s="4" t="str" cm="1">
        <f t="array" ref="K317">_xlfn.IFS(J317&lt;30, "Young Adult", J317&lt;50, "Adult", J317&gt;=50, "Senior")</f>
        <v>Adult</v>
      </c>
      <c r="L317" s="4" t="s">
        <v>21</v>
      </c>
      <c r="M317" s="4">
        <v>2</v>
      </c>
      <c r="N317" s="5">
        <v>25</v>
      </c>
      <c r="O317">
        <f>M317*N317</f>
        <v>50</v>
      </c>
      <c r="P317" s="14">
        <f>O317*$S$3</f>
        <v>0.75</v>
      </c>
    </row>
    <row r="318" spans="1:16">
      <c r="A318" s="2">
        <v>317</v>
      </c>
      <c r="B318" s="4">
        <f>YEAR(G318)</f>
        <v>2023</v>
      </c>
      <c r="C318" s="4">
        <f>MONTH(G318)</f>
        <v>1</v>
      </c>
      <c r="D318" s="4">
        <f>DAY(G318)</f>
        <v>30</v>
      </c>
      <c r="E318" s="4" t="str">
        <f>TEXT(G318, "mmmm")</f>
        <v>January</v>
      </c>
      <c r="F318" s="4" t="str">
        <f>TEXT(G318, "dddd")</f>
        <v>Monday</v>
      </c>
      <c r="G318" s="3">
        <v>44956</v>
      </c>
      <c r="H318" s="4" t="s">
        <v>344</v>
      </c>
      <c r="I318" s="4" t="s">
        <v>16</v>
      </c>
      <c r="J318" s="4">
        <v>22</v>
      </c>
      <c r="K318" s="4" t="str" cm="1">
        <f t="array" ref="K318">_xlfn.IFS(J318&lt;30, "Young Adult", J318&lt;50, "Adult", J318&gt;=50, "Senior")</f>
        <v>Young Adult</v>
      </c>
      <c r="L318" s="4" t="s">
        <v>24</v>
      </c>
      <c r="M318" s="4">
        <v>3</v>
      </c>
      <c r="N318" s="5">
        <v>30</v>
      </c>
      <c r="O318">
        <f>M318*N318</f>
        <v>90</v>
      </c>
      <c r="P318" s="14">
        <f>O318*$S$3</f>
        <v>1.3499999999999999</v>
      </c>
    </row>
    <row r="319" spans="1:16">
      <c r="A319" s="2">
        <v>318</v>
      </c>
      <c r="B319" s="4">
        <f>YEAR(G319)</f>
        <v>2023</v>
      </c>
      <c r="C319" s="4">
        <f>MONTH(G319)</f>
        <v>10</v>
      </c>
      <c r="D319" s="4">
        <f>DAY(G319)</f>
        <v>24</v>
      </c>
      <c r="E319" s="4" t="str">
        <f>TEXT(G319, "mmmm")</f>
        <v>October</v>
      </c>
      <c r="F319" s="4" t="str">
        <f>TEXT(G319, "dddd")</f>
        <v>Tuesday</v>
      </c>
      <c r="G319" s="3">
        <v>45223</v>
      </c>
      <c r="H319" s="4" t="s">
        <v>345</v>
      </c>
      <c r="I319" s="4" t="s">
        <v>16</v>
      </c>
      <c r="J319" s="4">
        <v>61</v>
      </c>
      <c r="K319" s="4" t="str" cm="1">
        <f t="array" ref="K319">_xlfn.IFS(J319&lt;30, "Young Adult", J319&lt;50, "Adult", J319&gt;=50, "Senior")</f>
        <v>Senior</v>
      </c>
      <c r="L319" s="4" t="s">
        <v>21</v>
      </c>
      <c r="M319" s="4">
        <v>1</v>
      </c>
      <c r="N319" s="5">
        <v>25</v>
      </c>
      <c r="O319">
        <f>M319*N319</f>
        <v>25</v>
      </c>
      <c r="P319" s="14">
        <f>O319*$S$3</f>
        <v>0.375</v>
      </c>
    </row>
    <row r="320" spans="1:16">
      <c r="A320" s="2">
        <v>319</v>
      </c>
      <c r="B320" s="4">
        <f>YEAR(G320)</f>
        <v>2023</v>
      </c>
      <c r="C320" s="4">
        <f>MONTH(G320)</f>
        <v>10</v>
      </c>
      <c r="D320" s="4">
        <f>DAY(G320)</f>
        <v>5</v>
      </c>
      <c r="E320" s="4" t="str">
        <f>TEXT(G320, "mmmm")</f>
        <v>October</v>
      </c>
      <c r="F320" s="4" t="str">
        <f>TEXT(G320, "dddd")</f>
        <v>Thursday</v>
      </c>
      <c r="G320" s="3">
        <v>45204</v>
      </c>
      <c r="H320" s="4" t="s">
        <v>346</v>
      </c>
      <c r="I320" s="4" t="s">
        <v>16</v>
      </c>
      <c r="J320" s="4">
        <v>31</v>
      </c>
      <c r="K320" s="4" t="str" cm="1">
        <f t="array" ref="K320">_xlfn.IFS(J320&lt;30, "Young Adult", J320&lt;50, "Adult", J320&gt;=50, "Senior")</f>
        <v>Adult</v>
      </c>
      <c r="L320" s="4" t="s">
        <v>21</v>
      </c>
      <c r="M320" s="4">
        <v>1</v>
      </c>
      <c r="N320" s="5">
        <v>500</v>
      </c>
      <c r="O320">
        <f>M320*N320</f>
        <v>500</v>
      </c>
      <c r="P320" s="14">
        <f>O320*$S$3</f>
        <v>7.5</v>
      </c>
    </row>
    <row r="321" spans="1:16">
      <c r="A321" s="2">
        <v>320</v>
      </c>
      <c r="B321" s="4">
        <f>YEAR(G321)</f>
        <v>2023</v>
      </c>
      <c r="C321" s="4">
        <f>MONTH(G321)</f>
        <v>2</v>
      </c>
      <c r="D321" s="4">
        <f>DAY(G321)</f>
        <v>1</v>
      </c>
      <c r="E321" s="4" t="str">
        <f>TEXT(G321, "mmmm")</f>
        <v>February</v>
      </c>
      <c r="F321" s="4" t="str">
        <f>TEXT(G321, "dddd")</f>
        <v>Wednesday</v>
      </c>
      <c r="G321" s="3">
        <v>44958</v>
      </c>
      <c r="H321" s="4" t="s">
        <v>347</v>
      </c>
      <c r="I321" s="4" t="s">
        <v>20</v>
      </c>
      <c r="J321" s="4">
        <v>28</v>
      </c>
      <c r="K321" s="4" t="str" cm="1">
        <f t="array" ref="K321">_xlfn.IFS(J321&lt;30, "Young Adult", J321&lt;50, "Adult", J321&gt;=50, "Senior")</f>
        <v>Young Adult</v>
      </c>
      <c r="L321" s="4" t="s">
        <v>24</v>
      </c>
      <c r="M321" s="4">
        <v>4</v>
      </c>
      <c r="N321" s="5">
        <v>300</v>
      </c>
      <c r="O321">
        <f>M321*N321</f>
        <v>1200</v>
      </c>
      <c r="P321" s="14">
        <f>O321*$S$3</f>
        <v>18</v>
      </c>
    </row>
    <row r="322" spans="1:16">
      <c r="A322" s="2">
        <v>321</v>
      </c>
      <c r="B322" s="4">
        <f>YEAR(G322)</f>
        <v>2023</v>
      </c>
      <c r="C322" s="4">
        <f>MONTH(G322)</f>
        <v>6</v>
      </c>
      <c r="D322" s="4">
        <f>DAY(G322)</f>
        <v>10</v>
      </c>
      <c r="E322" s="4" t="str">
        <f>TEXT(G322, "mmmm")</f>
        <v>June</v>
      </c>
      <c r="F322" s="4" t="str">
        <f>TEXT(G322, "dddd")</f>
        <v>Saturday</v>
      </c>
      <c r="G322" s="3">
        <v>45087</v>
      </c>
      <c r="H322" s="4" t="s">
        <v>348</v>
      </c>
      <c r="I322" s="4" t="s">
        <v>20</v>
      </c>
      <c r="J322" s="4">
        <v>26</v>
      </c>
      <c r="K322" s="4" t="str" cm="1">
        <f t="array" ref="K322">_xlfn.IFS(J322&lt;30, "Young Adult", J322&lt;50, "Adult", J322&gt;=50, "Senior")</f>
        <v>Young Adult</v>
      </c>
      <c r="L322" s="4" t="s">
        <v>24</v>
      </c>
      <c r="M322" s="4">
        <v>2</v>
      </c>
      <c r="N322" s="5">
        <v>25</v>
      </c>
      <c r="O322">
        <f>M322*N322</f>
        <v>50</v>
      </c>
      <c r="P322" s="14">
        <f>O322*$S$3</f>
        <v>0.75</v>
      </c>
    </row>
    <row r="323" spans="1:16">
      <c r="A323" s="2">
        <v>322</v>
      </c>
      <c r="B323" s="4">
        <f>YEAR(G323)</f>
        <v>2023</v>
      </c>
      <c r="C323" s="4">
        <f>MONTH(G323)</f>
        <v>1</v>
      </c>
      <c r="D323" s="4">
        <f>DAY(G323)</f>
        <v>30</v>
      </c>
      <c r="E323" s="4" t="str">
        <f>TEXT(G323, "mmmm")</f>
        <v>January</v>
      </c>
      <c r="F323" s="4" t="str">
        <f>TEXT(G323, "dddd")</f>
        <v>Monday</v>
      </c>
      <c r="G323" s="3">
        <v>44956</v>
      </c>
      <c r="H323" s="4" t="s">
        <v>349</v>
      </c>
      <c r="I323" s="4" t="s">
        <v>16</v>
      </c>
      <c r="J323" s="4">
        <v>51</v>
      </c>
      <c r="K323" s="4" t="str" cm="1">
        <f t="array" ref="K323">_xlfn.IFS(J323&lt;30, "Young Adult", J323&lt;50, "Adult", J323&gt;=50, "Senior")</f>
        <v>Senior</v>
      </c>
      <c r="L323" s="4" t="s">
        <v>24</v>
      </c>
      <c r="M323" s="4">
        <v>1</v>
      </c>
      <c r="N323" s="5">
        <v>500</v>
      </c>
      <c r="O323">
        <f>M323*N323</f>
        <v>500</v>
      </c>
      <c r="P323" s="14">
        <f>O323*$S$3</f>
        <v>7.5</v>
      </c>
    </row>
    <row r="324" spans="1:16">
      <c r="A324" s="2">
        <v>323</v>
      </c>
      <c r="B324" s="4">
        <f>YEAR(G324)</f>
        <v>2023</v>
      </c>
      <c r="C324" s="4">
        <f>MONTH(G324)</f>
        <v>1</v>
      </c>
      <c r="D324" s="4">
        <f>DAY(G324)</f>
        <v>26</v>
      </c>
      <c r="E324" s="4" t="str">
        <f>TEXT(G324, "mmmm")</f>
        <v>January</v>
      </c>
      <c r="F324" s="4" t="str">
        <f>TEXT(G324, "dddd")</f>
        <v>Thursday</v>
      </c>
      <c r="G324" s="3">
        <v>44952</v>
      </c>
      <c r="H324" s="4" t="s">
        <v>350</v>
      </c>
      <c r="I324" s="4" t="s">
        <v>20</v>
      </c>
      <c r="J324" s="4">
        <v>29</v>
      </c>
      <c r="K324" s="4" t="str" cm="1">
        <f t="array" ref="K324">_xlfn.IFS(J324&lt;30, "Young Adult", J324&lt;50, "Adult", J324&gt;=50, "Senior")</f>
        <v>Young Adult</v>
      </c>
      <c r="L324" s="4" t="s">
        <v>17</v>
      </c>
      <c r="M324" s="4">
        <v>3</v>
      </c>
      <c r="N324" s="5">
        <v>300</v>
      </c>
      <c r="O324">
        <f>M324*N324</f>
        <v>900</v>
      </c>
      <c r="P324" s="14">
        <f>O324*$S$3</f>
        <v>13.5</v>
      </c>
    </row>
    <row r="325" spans="1:16">
      <c r="A325" s="2">
        <v>324</v>
      </c>
      <c r="B325" s="4">
        <f>YEAR(G325)</f>
        <v>2023</v>
      </c>
      <c r="C325" s="4">
        <f>MONTH(G325)</f>
        <v>10</v>
      </c>
      <c r="D325" s="4">
        <f>DAY(G325)</f>
        <v>27</v>
      </c>
      <c r="E325" s="4" t="str">
        <f>TEXT(G325, "mmmm")</f>
        <v>October</v>
      </c>
      <c r="F325" s="4" t="str">
        <f>TEXT(G325, "dddd")</f>
        <v>Friday</v>
      </c>
      <c r="G325" s="3">
        <v>45226</v>
      </c>
      <c r="H325" s="4" t="s">
        <v>351</v>
      </c>
      <c r="I325" s="4" t="s">
        <v>20</v>
      </c>
      <c r="J325" s="4">
        <v>52</v>
      </c>
      <c r="K325" s="4" t="str" cm="1">
        <f t="array" ref="K325">_xlfn.IFS(J325&lt;30, "Young Adult", J325&lt;50, "Adult", J325&gt;=50, "Senior")</f>
        <v>Senior</v>
      </c>
      <c r="L325" s="4" t="s">
        <v>24</v>
      </c>
      <c r="M325" s="4">
        <v>3</v>
      </c>
      <c r="N325" s="5">
        <v>50</v>
      </c>
      <c r="O325">
        <f>M325*N325</f>
        <v>150</v>
      </c>
      <c r="P325" s="14">
        <f>O325*$S$3</f>
        <v>2.25</v>
      </c>
    </row>
    <row r="326" spans="1:16">
      <c r="A326" s="2">
        <v>325</v>
      </c>
      <c r="B326" s="4">
        <f>YEAR(G326)</f>
        <v>2023</v>
      </c>
      <c r="C326" s="4">
        <f>MONTH(G326)</f>
        <v>9</v>
      </c>
      <c r="D326" s="4">
        <f>DAY(G326)</f>
        <v>2</v>
      </c>
      <c r="E326" s="4" t="str">
        <f>TEXT(G326, "mmmm")</f>
        <v>September</v>
      </c>
      <c r="F326" s="4" t="str">
        <f>TEXT(G326, "dddd")</f>
        <v>Saturday</v>
      </c>
      <c r="G326" s="3">
        <v>45171</v>
      </c>
      <c r="H326" s="4" t="s">
        <v>352</v>
      </c>
      <c r="I326" s="4" t="s">
        <v>20</v>
      </c>
      <c r="J326" s="4">
        <v>52</v>
      </c>
      <c r="K326" s="4" t="str" cm="1">
        <f t="array" ref="K326">_xlfn.IFS(J326&lt;30, "Young Adult", J326&lt;50, "Adult", J326&gt;=50, "Senior")</f>
        <v>Senior</v>
      </c>
      <c r="L326" s="4" t="s">
        <v>24</v>
      </c>
      <c r="M326" s="4">
        <v>2</v>
      </c>
      <c r="N326" s="5">
        <v>25</v>
      </c>
      <c r="O326">
        <f>M326*N326</f>
        <v>50</v>
      </c>
      <c r="P326" s="14">
        <f>O326*$S$3</f>
        <v>0.75</v>
      </c>
    </row>
    <row r="327" spans="1:16">
      <c r="A327" s="2">
        <v>326</v>
      </c>
      <c r="B327" s="4">
        <f>YEAR(G327)</f>
        <v>2023</v>
      </c>
      <c r="C327" s="4">
        <f>MONTH(G327)</f>
        <v>9</v>
      </c>
      <c r="D327" s="4">
        <f>DAY(G327)</f>
        <v>15</v>
      </c>
      <c r="E327" s="4" t="str">
        <f>TEXT(G327, "mmmm")</f>
        <v>September</v>
      </c>
      <c r="F327" s="4" t="str">
        <f>TEXT(G327, "dddd")</f>
        <v>Friday</v>
      </c>
      <c r="G327" s="3">
        <v>45184</v>
      </c>
      <c r="H327" s="4" t="s">
        <v>353</v>
      </c>
      <c r="I327" s="4" t="s">
        <v>20</v>
      </c>
      <c r="J327" s="4">
        <v>18</v>
      </c>
      <c r="K327" s="4" t="str" cm="1">
        <f t="array" ref="K327">_xlfn.IFS(J327&lt;30, "Young Adult", J327&lt;50, "Adult", J327&gt;=50, "Senior")</f>
        <v>Young Adult</v>
      </c>
      <c r="L327" s="4" t="s">
        <v>21</v>
      </c>
      <c r="M327" s="4">
        <v>3</v>
      </c>
      <c r="N327" s="5">
        <v>25</v>
      </c>
      <c r="O327">
        <f>M327*N327</f>
        <v>75</v>
      </c>
      <c r="P327" s="14">
        <f>O327*$S$3</f>
        <v>1.125</v>
      </c>
    </row>
    <row r="328" spans="1:16">
      <c r="A328" s="2">
        <v>327</v>
      </c>
      <c r="B328" s="4">
        <f>YEAR(G328)</f>
        <v>2023</v>
      </c>
      <c r="C328" s="4">
        <f>MONTH(G328)</f>
        <v>9</v>
      </c>
      <c r="D328" s="4">
        <f>DAY(G328)</f>
        <v>29</v>
      </c>
      <c r="E328" s="4" t="str">
        <f>TEXT(G328, "mmmm")</f>
        <v>September</v>
      </c>
      <c r="F328" s="4" t="str">
        <f>TEXT(G328, "dddd")</f>
        <v>Friday</v>
      </c>
      <c r="G328" s="3">
        <v>45198</v>
      </c>
      <c r="H328" s="4" t="s">
        <v>354</v>
      </c>
      <c r="I328" s="4" t="s">
        <v>16</v>
      </c>
      <c r="J328" s="4">
        <v>57</v>
      </c>
      <c r="K328" s="4" t="str" cm="1">
        <f t="array" ref="K328">_xlfn.IFS(J328&lt;30, "Young Adult", J328&lt;50, "Adult", J328&gt;=50, "Senior")</f>
        <v>Senior</v>
      </c>
      <c r="L328" s="4" t="s">
        <v>24</v>
      </c>
      <c r="M328" s="4">
        <v>3</v>
      </c>
      <c r="N328" s="5">
        <v>50</v>
      </c>
      <c r="O328">
        <f>M328*N328</f>
        <v>150</v>
      </c>
      <c r="P328" s="14">
        <f>O328*$S$3</f>
        <v>2.25</v>
      </c>
    </row>
    <row r="329" spans="1:16">
      <c r="A329" s="2">
        <v>328</v>
      </c>
      <c r="B329" s="4">
        <f>YEAR(G329)</f>
        <v>2023</v>
      </c>
      <c r="C329" s="4">
        <f>MONTH(G329)</f>
        <v>3</v>
      </c>
      <c r="D329" s="4">
        <f>DAY(G329)</f>
        <v>22</v>
      </c>
      <c r="E329" s="4" t="str">
        <f>TEXT(G329, "mmmm")</f>
        <v>March</v>
      </c>
      <c r="F329" s="4" t="str">
        <f>TEXT(G329, "dddd")</f>
        <v>Wednesday</v>
      </c>
      <c r="G329" s="3">
        <v>45007</v>
      </c>
      <c r="H329" s="4" t="s">
        <v>355</v>
      </c>
      <c r="I329" s="4" t="s">
        <v>16</v>
      </c>
      <c r="J329" s="4">
        <v>39</v>
      </c>
      <c r="K329" s="4" t="str" cm="1">
        <f t="array" ref="K329">_xlfn.IFS(J329&lt;30, "Young Adult", J329&lt;50, "Adult", J329&gt;=50, "Senior")</f>
        <v>Adult</v>
      </c>
      <c r="L329" s="4" t="s">
        <v>17</v>
      </c>
      <c r="M329" s="4">
        <v>2</v>
      </c>
      <c r="N329" s="5">
        <v>50</v>
      </c>
      <c r="O329">
        <f>M329*N329</f>
        <v>100</v>
      </c>
      <c r="P329" s="14">
        <f>O329*$S$3</f>
        <v>1.5</v>
      </c>
    </row>
    <row r="330" spans="1:16">
      <c r="A330" s="2">
        <v>329</v>
      </c>
      <c r="B330" s="4">
        <f>YEAR(G330)</f>
        <v>2023</v>
      </c>
      <c r="C330" s="4">
        <f>MONTH(G330)</f>
        <v>1</v>
      </c>
      <c r="D330" s="4">
        <f>DAY(G330)</f>
        <v>30</v>
      </c>
      <c r="E330" s="4" t="str">
        <f>TEXT(G330, "mmmm")</f>
        <v>January</v>
      </c>
      <c r="F330" s="4" t="str">
        <f>TEXT(G330, "dddd")</f>
        <v>Monday</v>
      </c>
      <c r="G330" s="3">
        <v>44956</v>
      </c>
      <c r="H330" s="4" t="s">
        <v>356</v>
      </c>
      <c r="I330" s="4" t="s">
        <v>20</v>
      </c>
      <c r="J330" s="4">
        <v>46</v>
      </c>
      <c r="K330" s="4" t="str" cm="1">
        <f t="array" ref="K330">_xlfn.IFS(J330&lt;30, "Young Adult", J330&lt;50, "Adult", J330&gt;=50, "Senior")</f>
        <v>Adult</v>
      </c>
      <c r="L330" s="4" t="s">
        <v>24</v>
      </c>
      <c r="M330" s="4">
        <v>4</v>
      </c>
      <c r="N330" s="5">
        <v>25</v>
      </c>
      <c r="O330">
        <f>M330*N330</f>
        <v>100</v>
      </c>
      <c r="P330" s="14">
        <f>O330*$S$3</f>
        <v>1.5</v>
      </c>
    </row>
    <row r="331" spans="1:16">
      <c r="A331" s="2">
        <v>330</v>
      </c>
      <c r="B331" s="4">
        <f>YEAR(G331)</f>
        <v>2023</v>
      </c>
      <c r="C331" s="4">
        <f>MONTH(G331)</f>
        <v>9</v>
      </c>
      <c r="D331" s="4">
        <f>DAY(G331)</f>
        <v>18</v>
      </c>
      <c r="E331" s="4" t="str">
        <f>TEXT(G331, "mmmm")</f>
        <v>September</v>
      </c>
      <c r="F331" s="4" t="str">
        <f>TEXT(G331, "dddd")</f>
        <v>Monday</v>
      </c>
      <c r="G331" s="3">
        <v>45187</v>
      </c>
      <c r="H331" s="4" t="s">
        <v>357</v>
      </c>
      <c r="I331" s="4" t="s">
        <v>20</v>
      </c>
      <c r="J331" s="4">
        <v>25</v>
      </c>
      <c r="K331" s="4" t="str" cm="1">
        <f t="array" ref="K331">_xlfn.IFS(J331&lt;30, "Young Adult", J331&lt;50, "Adult", J331&gt;=50, "Senior")</f>
        <v>Young Adult</v>
      </c>
      <c r="L331" s="4" t="s">
        <v>17</v>
      </c>
      <c r="M331" s="4">
        <v>4</v>
      </c>
      <c r="N331" s="5">
        <v>50</v>
      </c>
      <c r="O331">
        <f>M331*N331</f>
        <v>200</v>
      </c>
      <c r="P331" s="14">
        <f>O331*$S$3</f>
        <v>3</v>
      </c>
    </row>
    <row r="332" spans="1:16">
      <c r="A332" s="2">
        <v>331</v>
      </c>
      <c r="B332" s="4">
        <f>YEAR(G332)</f>
        <v>2023</v>
      </c>
      <c r="C332" s="4">
        <f>MONTH(G332)</f>
        <v>2</v>
      </c>
      <c r="D332" s="4">
        <f>DAY(G332)</f>
        <v>11</v>
      </c>
      <c r="E332" s="4" t="str">
        <f>TEXT(G332, "mmmm")</f>
        <v>February</v>
      </c>
      <c r="F332" s="4" t="str">
        <f>TEXT(G332, "dddd")</f>
        <v>Saturday</v>
      </c>
      <c r="G332" s="3">
        <v>44968</v>
      </c>
      <c r="H332" s="4" t="s">
        <v>358</v>
      </c>
      <c r="I332" s="4" t="s">
        <v>16</v>
      </c>
      <c r="J332" s="4">
        <v>28</v>
      </c>
      <c r="K332" s="4" t="str" cm="1">
        <f t="array" ref="K332">_xlfn.IFS(J332&lt;30, "Young Adult", J332&lt;50, "Adult", J332&gt;=50, "Senior")</f>
        <v>Young Adult</v>
      </c>
      <c r="L332" s="4" t="s">
        <v>24</v>
      </c>
      <c r="M332" s="4">
        <v>3</v>
      </c>
      <c r="N332" s="5">
        <v>30</v>
      </c>
      <c r="O332">
        <f>M332*N332</f>
        <v>90</v>
      </c>
      <c r="P332" s="14">
        <f>O332*$S$3</f>
        <v>1.3499999999999999</v>
      </c>
    </row>
    <row r="333" spans="1:16">
      <c r="A333" s="2">
        <v>332</v>
      </c>
      <c r="B333" s="4">
        <f>YEAR(G333)</f>
        <v>2023</v>
      </c>
      <c r="C333" s="4">
        <f>MONTH(G333)</f>
        <v>4</v>
      </c>
      <c r="D333" s="4">
        <f>DAY(G333)</f>
        <v>6</v>
      </c>
      <c r="E333" s="4" t="str">
        <f>TEXT(G333, "mmmm")</f>
        <v>April</v>
      </c>
      <c r="F333" s="4" t="str">
        <f>TEXT(G333, "dddd")</f>
        <v>Thursday</v>
      </c>
      <c r="G333" s="3">
        <v>45022</v>
      </c>
      <c r="H333" s="4" t="s">
        <v>359</v>
      </c>
      <c r="I333" s="4" t="s">
        <v>16</v>
      </c>
      <c r="J333" s="4">
        <v>58</v>
      </c>
      <c r="K333" s="4" t="str" cm="1">
        <f t="array" ref="K333">_xlfn.IFS(J333&lt;30, "Young Adult", J333&lt;50, "Adult", J333&gt;=50, "Senior")</f>
        <v>Senior</v>
      </c>
      <c r="L333" s="4" t="s">
        <v>24</v>
      </c>
      <c r="M333" s="4">
        <v>4</v>
      </c>
      <c r="N333" s="5">
        <v>300</v>
      </c>
      <c r="O333">
        <f>M333*N333</f>
        <v>1200</v>
      </c>
      <c r="P333" s="14">
        <f>O333*$S$3</f>
        <v>18</v>
      </c>
    </row>
    <row r="334" spans="1:16">
      <c r="A334" s="2">
        <v>333</v>
      </c>
      <c r="B334" s="4">
        <f>YEAR(G334)</f>
        <v>2023</v>
      </c>
      <c r="C334" s="4">
        <f>MONTH(G334)</f>
        <v>2</v>
      </c>
      <c r="D334" s="4">
        <f>DAY(G334)</f>
        <v>5</v>
      </c>
      <c r="E334" s="4" t="str">
        <f>TEXT(G334, "mmmm")</f>
        <v>February</v>
      </c>
      <c r="F334" s="4" t="str">
        <f>TEXT(G334, "dddd")</f>
        <v>Sunday</v>
      </c>
      <c r="G334" s="3">
        <v>44962</v>
      </c>
      <c r="H334" s="4" t="s">
        <v>360</v>
      </c>
      <c r="I334" s="4" t="s">
        <v>20</v>
      </c>
      <c r="J334" s="4">
        <v>54</v>
      </c>
      <c r="K334" s="4" t="str" cm="1">
        <f t="array" ref="K334">_xlfn.IFS(J334&lt;30, "Young Adult", J334&lt;50, "Adult", J334&gt;=50, "Senior")</f>
        <v>Senior</v>
      </c>
      <c r="L334" s="4" t="s">
        <v>24</v>
      </c>
      <c r="M334" s="4">
        <v>4</v>
      </c>
      <c r="N334" s="5">
        <v>300</v>
      </c>
      <c r="O334">
        <f>M334*N334</f>
        <v>1200</v>
      </c>
      <c r="P334" s="14">
        <f>O334*$S$3</f>
        <v>18</v>
      </c>
    </row>
    <row r="335" spans="1:16">
      <c r="A335" s="2">
        <v>334</v>
      </c>
      <c r="B335" s="4">
        <f>YEAR(G335)</f>
        <v>2023</v>
      </c>
      <c r="C335" s="4">
        <f>MONTH(G335)</f>
        <v>11</v>
      </c>
      <c r="D335" s="4">
        <f>DAY(G335)</f>
        <v>1</v>
      </c>
      <c r="E335" s="4" t="str">
        <f>TEXT(G335, "mmmm")</f>
        <v>November</v>
      </c>
      <c r="F335" s="4" t="str">
        <f>TEXT(G335, "dddd")</f>
        <v>Wednesday</v>
      </c>
      <c r="G335" s="3">
        <v>45231</v>
      </c>
      <c r="H335" s="4" t="s">
        <v>361</v>
      </c>
      <c r="I335" s="4" t="s">
        <v>16</v>
      </c>
      <c r="J335" s="4">
        <v>31</v>
      </c>
      <c r="K335" s="4" t="str" cm="1">
        <f t="array" ref="K335">_xlfn.IFS(J335&lt;30, "Young Adult", J335&lt;50, "Adult", J335&gt;=50, "Senior")</f>
        <v>Adult</v>
      </c>
      <c r="L335" s="4" t="s">
        <v>24</v>
      </c>
      <c r="M335" s="4">
        <v>3</v>
      </c>
      <c r="N335" s="5">
        <v>300</v>
      </c>
      <c r="O335">
        <f>M335*N335</f>
        <v>900</v>
      </c>
      <c r="P335" s="14">
        <f>O335*$S$3</f>
        <v>13.5</v>
      </c>
    </row>
    <row r="336" spans="1:16">
      <c r="A336" s="2">
        <v>335</v>
      </c>
      <c r="B336" s="4">
        <f>YEAR(G336)</f>
        <v>2023</v>
      </c>
      <c r="C336" s="4">
        <f>MONTH(G336)</f>
        <v>2</v>
      </c>
      <c r="D336" s="4">
        <f>DAY(G336)</f>
        <v>4</v>
      </c>
      <c r="E336" s="4" t="str">
        <f>TEXT(G336, "mmmm")</f>
        <v>February</v>
      </c>
      <c r="F336" s="4" t="str">
        <f>TEXT(G336, "dddd")</f>
        <v>Saturday</v>
      </c>
      <c r="G336" s="3">
        <v>44961</v>
      </c>
      <c r="H336" s="4" t="s">
        <v>362</v>
      </c>
      <c r="I336" s="4" t="s">
        <v>20</v>
      </c>
      <c r="J336" s="4">
        <v>47</v>
      </c>
      <c r="K336" s="4" t="str" cm="1">
        <f t="array" ref="K336">_xlfn.IFS(J336&lt;30, "Young Adult", J336&lt;50, "Adult", J336&gt;=50, "Senior")</f>
        <v>Adult</v>
      </c>
      <c r="L336" s="4" t="s">
        <v>17</v>
      </c>
      <c r="M336" s="4">
        <v>4</v>
      </c>
      <c r="N336" s="5">
        <v>30</v>
      </c>
      <c r="O336">
        <f>M336*N336</f>
        <v>120</v>
      </c>
      <c r="P336" s="14">
        <f>O336*$S$3</f>
        <v>1.7999999999999998</v>
      </c>
    </row>
    <row r="337" spans="1:16">
      <c r="A337" s="2">
        <v>336</v>
      </c>
      <c r="B337" s="4">
        <f>YEAR(G337)</f>
        <v>2023</v>
      </c>
      <c r="C337" s="4">
        <f>MONTH(G337)</f>
        <v>12</v>
      </c>
      <c r="D337" s="4">
        <f>DAY(G337)</f>
        <v>12</v>
      </c>
      <c r="E337" s="4" t="str">
        <f>TEXT(G337, "mmmm")</f>
        <v>December</v>
      </c>
      <c r="F337" s="4" t="str">
        <f>TEXT(G337, "dddd")</f>
        <v>Tuesday</v>
      </c>
      <c r="G337" s="3">
        <v>45272</v>
      </c>
      <c r="H337" s="4" t="s">
        <v>363</v>
      </c>
      <c r="I337" s="4" t="s">
        <v>20</v>
      </c>
      <c r="J337" s="4">
        <v>52</v>
      </c>
      <c r="K337" s="4" t="str" cm="1">
        <f t="array" ref="K337">_xlfn.IFS(J337&lt;30, "Young Adult", J337&lt;50, "Adult", J337&gt;=50, "Senior")</f>
        <v>Senior</v>
      </c>
      <c r="L337" s="4" t="s">
        <v>17</v>
      </c>
      <c r="M337" s="4">
        <v>3</v>
      </c>
      <c r="N337" s="5">
        <v>50</v>
      </c>
      <c r="O337">
        <f>M337*N337</f>
        <v>150</v>
      </c>
      <c r="P337" s="14">
        <f>O337*$S$3</f>
        <v>2.25</v>
      </c>
    </row>
    <row r="338" spans="1:16">
      <c r="A338" s="2">
        <v>337</v>
      </c>
      <c r="B338" s="4">
        <f>YEAR(G338)</f>
        <v>2023</v>
      </c>
      <c r="C338" s="4">
        <f>MONTH(G338)</f>
        <v>5</v>
      </c>
      <c r="D338" s="4">
        <f>DAY(G338)</f>
        <v>1</v>
      </c>
      <c r="E338" s="4" t="str">
        <f>TEXT(G338, "mmmm")</f>
        <v>May</v>
      </c>
      <c r="F338" s="4" t="str">
        <f>TEXT(G338, "dddd")</f>
        <v>Monday</v>
      </c>
      <c r="G338" s="3">
        <v>45047</v>
      </c>
      <c r="H338" s="4" t="s">
        <v>364</v>
      </c>
      <c r="I338" s="4" t="s">
        <v>16</v>
      </c>
      <c r="J338" s="4">
        <v>38</v>
      </c>
      <c r="K338" s="4" t="str" cm="1">
        <f t="array" ref="K338">_xlfn.IFS(J338&lt;30, "Young Adult", J338&lt;50, "Adult", J338&gt;=50, "Senior")</f>
        <v>Adult</v>
      </c>
      <c r="L338" s="4" t="s">
        <v>21</v>
      </c>
      <c r="M338" s="4">
        <v>1</v>
      </c>
      <c r="N338" s="5">
        <v>500</v>
      </c>
      <c r="O338">
        <f>M338*N338</f>
        <v>500</v>
      </c>
      <c r="P338" s="14">
        <f>O338*$S$3</f>
        <v>7.5</v>
      </c>
    </row>
    <row r="339" spans="1:16">
      <c r="A339" s="2">
        <v>338</v>
      </c>
      <c r="B339" s="4">
        <f>YEAR(G339)</f>
        <v>2023</v>
      </c>
      <c r="C339" s="4">
        <f>MONTH(G339)</f>
        <v>7</v>
      </c>
      <c r="D339" s="4">
        <f>DAY(G339)</f>
        <v>26</v>
      </c>
      <c r="E339" s="4" t="str">
        <f>TEXT(G339, "mmmm")</f>
        <v>July</v>
      </c>
      <c r="F339" s="4" t="str">
        <f>TEXT(G339, "dddd")</f>
        <v>Wednesday</v>
      </c>
      <c r="G339" s="3">
        <v>45133</v>
      </c>
      <c r="H339" s="4" t="s">
        <v>365</v>
      </c>
      <c r="I339" s="4" t="s">
        <v>16</v>
      </c>
      <c r="J339" s="4">
        <v>54</v>
      </c>
      <c r="K339" s="4" t="str" cm="1">
        <f t="array" ref="K339">_xlfn.IFS(J339&lt;30, "Young Adult", J339&lt;50, "Adult", J339&gt;=50, "Senior")</f>
        <v>Senior</v>
      </c>
      <c r="L339" s="4" t="s">
        <v>17</v>
      </c>
      <c r="M339" s="4">
        <v>2</v>
      </c>
      <c r="N339" s="5">
        <v>50</v>
      </c>
      <c r="O339">
        <f>M339*N339</f>
        <v>100</v>
      </c>
      <c r="P339" s="14">
        <f>O339*$S$3</f>
        <v>1.5</v>
      </c>
    </row>
    <row r="340" spans="1:16">
      <c r="A340" s="2">
        <v>339</v>
      </c>
      <c r="B340" s="4">
        <f>YEAR(G340)</f>
        <v>2023</v>
      </c>
      <c r="C340" s="4">
        <f>MONTH(G340)</f>
        <v>3</v>
      </c>
      <c r="D340" s="4">
        <f>DAY(G340)</f>
        <v>3</v>
      </c>
      <c r="E340" s="4" t="str">
        <f>TEXT(G340, "mmmm")</f>
        <v>March</v>
      </c>
      <c r="F340" s="4" t="str">
        <f>TEXT(G340, "dddd")</f>
        <v>Friday</v>
      </c>
      <c r="G340" s="3">
        <v>44988</v>
      </c>
      <c r="H340" s="4" t="s">
        <v>366</v>
      </c>
      <c r="I340" s="4" t="s">
        <v>20</v>
      </c>
      <c r="J340" s="4">
        <v>22</v>
      </c>
      <c r="K340" s="4" t="str" cm="1">
        <f t="array" ref="K340">_xlfn.IFS(J340&lt;30, "Young Adult", J340&lt;50, "Adult", J340&gt;=50, "Senior")</f>
        <v>Young Adult</v>
      </c>
      <c r="L340" s="4" t="s">
        <v>24</v>
      </c>
      <c r="M340" s="4">
        <v>2</v>
      </c>
      <c r="N340" s="5">
        <v>25</v>
      </c>
      <c r="O340">
        <f>M340*N340</f>
        <v>50</v>
      </c>
      <c r="P340" s="14">
        <f>O340*$S$3</f>
        <v>0.75</v>
      </c>
    </row>
    <row r="341" spans="1:16">
      <c r="A341" s="2">
        <v>340</v>
      </c>
      <c r="B341" s="4">
        <f>YEAR(G341)</f>
        <v>2023</v>
      </c>
      <c r="C341" s="4">
        <f>MONTH(G341)</f>
        <v>10</v>
      </c>
      <c r="D341" s="4">
        <f>DAY(G341)</f>
        <v>19</v>
      </c>
      <c r="E341" s="4" t="str">
        <f>TEXT(G341, "mmmm")</f>
        <v>October</v>
      </c>
      <c r="F341" s="4" t="str">
        <f>TEXT(G341, "dddd")</f>
        <v>Thursday</v>
      </c>
      <c r="G341" s="3">
        <v>45218</v>
      </c>
      <c r="H341" s="4" t="s">
        <v>367</v>
      </c>
      <c r="I341" s="4" t="s">
        <v>20</v>
      </c>
      <c r="J341" s="4">
        <v>36</v>
      </c>
      <c r="K341" s="4" t="str" cm="1">
        <f t="array" ref="K341">_xlfn.IFS(J341&lt;30, "Young Adult", J341&lt;50, "Adult", J341&gt;=50, "Senior")</f>
        <v>Adult</v>
      </c>
      <c r="L341" s="4" t="s">
        <v>21</v>
      </c>
      <c r="M341" s="4">
        <v>4</v>
      </c>
      <c r="N341" s="5">
        <v>300</v>
      </c>
      <c r="O341">
        <f>M341*N341</f>
        <v>1200</v>
      </c>
      <c r="P341" s="14">
        <f>O341*$S$3</f>
        <v>18</v>
      </c>
    </row>
    <row r="342" spans="1:16">
      <c r="A342" s="2">
        <v>341</v>
      </c>
      <c r="B342" s="4">
        <f>YEAR(G342)</f>
        <v>2023</v>
      </c>
      <c r="C342" s="4">
        <f>MONTH(G342)</f>
        <v>5</v>
      </c>
      <c r="D342" s="4">
        <f>DAY(G342)</f>
        <v>7</v>
      </c>
      <c r="E342" s="4" t="str">
        <f>TEXT(G342, "mmmm")</f>
        <v>May</v>
      </c>
      <c r="F342" s="4" t="str">
        <f>TEXT(G342, "dddd")</f>
        <v>Sunday</v>
      </c>
      <c r="G342" s="3">
        <v>45053</v>
      </c>
      <c r="H342" s="4" t="s">
        <v>368</v>
      </c>
      <c r="I342" s="4" t="s">
        <v>16</v>
      </c>
      <c r="J342" s="4">
        <v>31</v>
      </c>
      <c r="K342" s="4" t="str" cm="1">
        <f t="array" ref="K342">_xlfn.IFS(J342&lt;30, "Young Adult", J342&lt;50, "Adult", J342&gt;=50, "Senior")</f>
        <v>Adult</v>
      </c>
      <c r="L342" s="4" t="s">
        <v>21</v>
      </c>
      <c r="M342" s="4">
        <v>4</v>
      </c>
      <c r="N342" s="5">
        <v>50</v>
      </c>
      <c r="O342">
        <f>M342*N342</f>
        <v>200</v>
      </c>
      <c r="P342" s="14">
        <f>O342*$S$3</f>
        <v>3</v>
      </c>
    </row>
    <row r="343" spans="1:16">
      <c r="A343" s="2">
        <v>342</v>
      </c>
      <c r="B343" s="4">
        <f>YEAR(G343)</f>
        <v>2023</v>
      </c>
      <c r="C343" s="4">
        <f>MONTH(G343)</f>
        <v>10</v>
      </c>
      <c r="D343" s="4">
        <f>DAY(G343)</f>
        <v>24</v>
      </c>
      <c r="E343" s="4" t="str">
        <f>TEXT(G343, "mmmm")</f>
        <v>October</v>
      </c>
      <c r="F343" s="4" t="str">
        <f>TEXT(G343, "dddd")</f>
        <v>Tuesday</v>
      </c>
      <c r="G343" s="3">
        <v>45223</v>
      </c>
      <c r="H343" s="4" t="s">
        <v>369</v>
      </c>
      <c r="I343" s="4" t="s">
        <v>20</v>
      </c>
      <c r="J343" s="4">
        <v>43</v>
      </c>
      <c r="K343" s="4" t="str" cm="1">
        <f t="array" ref="K343">_xlfn.IFS(J343&lt;30, "Young Adult", J343&lt;50, "Adult", J343&gt;=50, "Senior")</f>
        <v>Adult</v>
      </c>
      <c r="L343" s="4" t="s">
        <v>21</v>
      </c>
      <c r="M343" s="4">
        <v>4</v>
      </c>
      <c r="N343" s="5">
        <v>500</v>
      </c>
      <c r="O343">
        <f>M343*N343</f>
        <v>2000</v>
      </c>
      <c r="P343" s="14">
        <f>O343*$S$3</f>
        <v>30</v>
      </c>
    </row>
    <row r="344" spans="1:16">
      <c r="A344" s="2">
        <v>343</v>
      </c>
      <c r="B344" s="4">
        <f>YEAR(G344)</f>
        <v>2023</v>
      </c>
      <c r="C344" s="4">
        <f>MONTH(G344)</f>
        <v>11</v>
      </c>
      <c r="D344" s="4">
        <f>DAY(G344)</f>
        <v>1</v>
      </c>
      <c r="E344" s="4" t="str">
        <f>TEXT(G344, "mmmm")</f>
        <v>November</v>
      </c>
      <c r="F344" s="4" t="str">
        <f>TEXT(G344, "dddd")</f>
        <v>Wednesday</v>
      </c>
      <c r="G344" s="3">
        <v>45231</v>
      </c>
      <c r="H344" s="4" t="s">
        <v>370</v>
      </c>
      <c r="I344" s="4" t="s">
        <v>16</v>
      </c>
      <c r="J344" s="4">
        <v>21</v>
      </c>
      <c r="K344" s="4" t="str" cm="1">
        <f t="array" ref="K344">_xlfn.IFS(J344&lt;30, "Young Adult", J344&lt;50, "Adult", J344&gt;=50, "Senior")</f>
        <v>Young Adult</v>
      </c>
      <c r="L344" s="4" t="s">
        <v>24</v>
      </c>
      <c r="M344" s="4">
        <v>2</v>
      </c>
      <c r="N344" s="5">
        <v>25</v>
      </c>
      <c r="O344">
        <f>M344*N344</f>
        <v>50</v>
      </c>
      <c r="P344" s="14">
        <f>O344*$S$3</f>
        <v>0.75</v>
      </c>
    </row>
    <row r="345" spans="1:16">
      <c r="A345" s="2">
        <v>344</v>
      </c>
      <c r="B345" s="4">
        <f>YEAR(G345)</f>
        <v>2023</v>
      </c>
      <c r="C345" s="4">
        <f>MONTH(G345)</f>
        <v>1</v>
      </c>
      <c r="D345" s="4">
        <f>DAY(G345)</f>
        <v>21</v>
      </c>
      <c r="E345" s="4" t="str">
        <f>TEXT(G345, "mmmm")</f>
        <v>January</v>
      </c>
      <c r="F345" s="4" t="str">
        <f>TEXT(G345, "dddd")</f>
        <v>Saturday</v>
      </c>
      <c r="G345" s="3">
        <v>44947</v>
      </c>
      <c r="H345" s="4" t="s">
        <v>371</v>
      </c>
      <c r="I345" s="4" t="s">
        <v>20</v>
      </c>
      <c r="J345" s="4">
        <v>42</v>
      </c>
      <c r="K345" s="4" t="str" cm="1">
        <f t="array" ref="K345">_xlfn.IFS(J345&lt;30, "Young Adult", J345&lt;50, "Adult", J345&gt;=50, "Senior")</f>
        <v>Adult</v>
      </c>
      <c r="L345" s="4" t="s">
        <v>17</v>
      </c>
      <c r="M345" s="4">
        <v>1</v>
      </c>
      <c r="N345" s="5">
        <v>30</v>
      </c>
      <c r="O345">
        <f>M345*N345</f>
        <v>30</v>
      </c>
      <c r="P345" s="14">
        <f>O345*$S$3</f>
        <v>0.44999999999999996</v>
      </c>
    </row>
    <row r="346" spans="1:16">
      <c r="A346" s="2">
        <v>345</v>
      </c>
      <c r="B346" s="4">
        <f>YEAR(G346)</f>
        <v>2023</v>
      </c>
      <c r="C346" s="4">
        <f>MONTH(G346)</f>
        <v>11</v>
      </c>
      <c r="D346" s="4">
        <f>DAY(G346)</f>
        <v>14</v>
      </c>
      <c r="E346" s="4" t="str">
        <f>TEXT(G346, "mmmm")</f>
        <v>November</v>
      </c>
      <c r="F346" s="4" t="str">
        <f>TEXT(G346, "dddd")</f>
        <v>Tuesday</v>
      </c>
      <c r="G346" s="3">
        <v>45244</v>
      </c>
      <c r="H346" s="4" t="s">
        <v>372</v>
      </c>
      <c r="I346" s="4" t="s">
        <v>16</v>
      </c>
      <c r="J346" s="4">
        <v>62</v>
      </c>
      <c r="K346" s="4" t="str" cm="1">
        <f t="array" ref="K346">_xlfn.IFS(J346&lt;30, "Young Adult", J346&lt;50, "Adult", J346&gt;=50, "Senior")</f>
        <v>Senior</v>
      </c>
      <c r="L346" s="4" t="s">
        <v>24</v>
      </c>
      <c r="M346" s="4">
        <v>1</v>
      </c>
      <c r="N346" s="5">
        <v>30</v>
      </c>
      <c r="O346">
        <f>M346*N346</f>
        <v>30</v>
      </c>
      <c r="P346" s="14">
        <f>O346*$S$3</f>
        <v>0.44999999999999996</v>
      </c>
    </row>
    <row r="347" spans="1:16">
      <c r="A347" s="2">
        <v>346</v>
      </c>
      <c r="B347" s="4">
        <f>YEAR(G347)</f>
        <v>2023</v>
      </c>
      <c r="C347" s="4">
        <f>MONTH(G347)</f>
        <v>2</v>
      </c>
      <c r="D347" s="4">
        <f>DAY(G347)</f>
        <v>11</v>
      </c>
      <c r="E347" s="4" t="str">
        <f>TEXT(G347, "mmmm")</f>
        <v>February</v>
      </c>
      <c r="F347" s="4" t="str">
        <f>TEXT(G347, "dddd")</f>
        <v>Saturday</v>
      </c>
      <c r="G347" s="3">
        <v>44968</v>
      </c>
      <c r="H347" s="4" t="s">
        <v>373</v>
      </c>
      <c r="I347" s="4" t="s">
        <v>16</v>
      </c>
      <c r="J347" s="4">
        <v>59</v>
      </c>
      <c r="K347" s="4" t="str" cm="1">
        <f t="array" ref="K347">_xlfn.IFS(J347&lt;30, "Young Adult", J347&lt;50, "Adult", J347&gt;=50, "Senior")</f>
        <v>Senior</v>
      </c>
      <c r="L347" s="4" t="s">
        <v>21</v>
      </c>
      <c r="M347" s="4">
        <v>2</v>
      </c>
      <c r="N347" s="5">
        <v>500</v>
      </c>
      <c r="O347">
        <f>M347*N347</f>
        <v>1000</v>
      </c>
      <c r="P347" s="14">
        <f>O347*$S$3</f>
        <v>15</v>
      </c>
    </row>
    <row r="348" spans="1:16">
      <c r="A348" s="2">
        <v>347</v>
      </c>
      <c r="B348" s="4">
        <f>YEAR(G348)</f>
        <v>2023</v>
      </c>
      <c r="C348" s="4">
        <f>MONTH(G348)</f>
        <v>8</v>
      </c>
      <c r="D348" s="4">
        <f>DAY(G348)</f>
        <v>3</v>
      </c>
      <c r="E348" s="4" t="str">
        <f>TEXT(G348, "mmmm")</f>
        <v>August</v>
      </c>
      <c r="F348" s="4" t="str">
        <f>TEXT(G348, "dddd")</f>
        <v>Thursday</v>
      </c>
      <c r="G348" s="3">
        <v>45141</v>
      </c>
      <c r="H348" s="4" t="s">
        <v>374</v>
      </c>
      <c r="I348" s="4" t="s">
        <v>16</v>
      </c>
      <c r="J348" s="4">
        <v>42</v>
      </c>
      <c r="K348" s="4" t="str" cm="1">
        <f t="array" ref="K348">_xlfn.IFS(J348&lt;30, "Young Adult", J348&lt;50, "Adult", J348&gt;=50, "Senior")</f>
        <v>Adult</v>
      </c>
      <c r="L348" s="4" t="s">
        <v>24</v>
      </c>
      <c r="M348" s="4">
        <v>1</v>
      </c>
      <c r="N348" s="5">
        <v>25</v>
      </c>
      <c r="O348">
        <f>M348*N348</f>
        <v>25</v>
      </c>
      <c r="P348" s="14">
        <f>O348*$S$3</f>
        <v>0.375</v>
      </c>
    </row>
    <row r="349" spans="1:16">
      <c r="A349" s="2">
        <v>348</v>
      </c>
      <c r="B349" s="4">
        <f>YEAR(G349)</f>
        <v>2023</v>
      </c>
      <c r="C349" s="4">
        <f>MONTH(G349)</f>
        <v>12</v>
      </c>
      <c r="D349" s="4">
        <f>DAY(G349)</f>
        <v>3</v>
      </c>
      <c r="E349" s="4" t="str">
        <f>TEXT(G349, "mmmm")</f>
        <v>December</v>
      </c>
      <c r="F349" s="4" t="str">
        <f>TEXT(G349, "dddd")</f>
        <v>Sunday</v>
      </c>
      <c r="G349" s="3">
        <v>45263</v>
      </c>
      <c r="H349" s="4" t="s">
        <v>375</v>
      </c>
      <c r="I349" s="4" t="s">
        <v>20</v>
      </c>
      <c r="J349" s="4">
        <v>35</v>
      </c>
      <c r="K349" s="4" t="str" cm="1">
        <f t="array" ref="K349">_xlfn.IFS(J349&lt;30, "Young Adult", J349&lt;50, "Adult", J349&gt;=50, "Senior")</f>
        <v>Adult</v>
      </c>
      <c r="L349" s="4" t="s">
        <v>24</v>
      </c>
      <c r="M349" s="4">
        <v>2</v>
      </c>
      <c r="N349" s="5">
        <v>300</v>
      </c>
      <c r="O349">
        <f>M349*N349</f>
        <v>600</v>
      </c>
      <c r="P349" s="14">
        <f>O349*$S$3</f>
        <v>9</v>
      </c>
    </row>
    <row r="350" spans="1:16">
      <c r="A350" s="2">
        <v>349</v>
      </c>
      <c r="B350" s="4">
        <f>YEAR(G350)</f>
        <v>2023</v>
      </c>
      <c r="C350" s="4">
        <f>MONTH(G350)</f>
        <v>10</v>
      </c>
      <c r="D350" s="4">
        <f>DAY(G350)</f>
        <v>26</v>
      </c>
      <c r="E350" s="4" t="str">
        <f>TEXT(G350, "mmmm")</f>
        <v>October</v>
      </c>
      <c r="F350" s="4" t="str">
        <f>TEXT(G350, "dddd")</f>
        <v>Thursday</v>
      </c>
      <c r="G350" s="3">
        <v>45225</v>
      </c>
      <c r="H350" s="4" t="s">
        <v>376</v>
      </c>
      <c r="I350" s="4" t="s">
        <v>20</v>
      </c>
      <c r="J350" s="4">
        <v>57</v>
      </c>
      <c r="K350" s="4" t="str" cm="1">
        <f t="array" ref="K350">_xlfn.IFS(J350&lt;30, "Young Adult", J350&lt;50, "Adult", J350&gt;=50, "Senior")</f>
        <v>Senior</v>
      </c>
      <c r="L350" s="4" t="s">
        <v>17</v>
      </c>
      <c r="M350" s="4">
        <v>1</v>
      </c>
      <c r="N350" s="5">
        <v>50</v>
      </c>
      <c r="O350">
        <f>M350*N350</f>
        <v>50</v>
      </c>
      <c r="P350" s="14">
        <f>O350*$S$3</f>
        <v>0.75</v>
      </c>
    </row>
    <row r="351" spans="1:16">
      <c r="A351" s="2">
        <v>350</v>
      </c>
      <c r="B351" s="4">
        <f>YEAR(G351)</f>
        <v>2023</v>
      </c>
      <c r="C351" s="4">
        <f>MONTH(G351)</f>
        <v>10</v>
      </c>
      <c r="D351" s="4">
        <f>DAY(G351)</f>
        <v>17</v>
      </c>
      <c r="E351" s="4" t="str">
        <f>TEXT(G351, "mmmm")</f>
        <v>October</v>
      </c>
      <c r="F351" s="4" t="str">
        <f>TEXT(G351, "dddd")</f>
        <v>Tuesday</v>
      </c>
      <c r="G351" s="3">
        <v>45216</v>
      </c>
      <c r="H351" s="4" t="s">
        <v>377</v>
      </c>
      <c r="I351" s="4" t="s">
        <v>16</v>
      </c>
      <c r="J351" s="4">
        <v>25</v>
      </c>
      <c r="K351" s="4" t="str" cm="1">
        <f t="array" ref="K351">_xlfn.IFS(J351&lt;30, "Young Adult", J351&lt;50, "Adult", J351&gt;=50, "Senior")</f>
        <v>Young Adult</v>
      </c>
      <c r="L351" s="4" t="s">
        <v>17</v>
      </c>
      <c r="M351" s="4">
        <v>3</v>
      </c>
      <c r="N351" s="5">
        <v>25</v>
      </c>
      <c r="O351">
        <f>M351*N351</f>
        <v>75</v>
      </c>
      <c r="P351" s="14">
        <f>O351*$S$3</f>
        <v>1.125</v>
      </c>
    </row>
    <row r="352" spans="1:16">
      <c r="A352" s="2">
        <v>351</v>
      </c>
      <c r="B352" s="4">
        <f>YEAR(G352)</f>
        <v>2023</v>
      </c>
      <c r="C352" s="4">
        <f>MONTH(G352)</f>
        <v>9</v>
      </c>
      <c r="D352" s="4">
        <f>DAY(G352)</f>
        <v>25</v>
      </c>
      <c r="E352" s="4" t="str">
        <f>TEXT(G352, "mmmm")</f>
        <v>September</v>
      </c>
      <c r="F352" s="4" t="str">
        <f>TEXT(G352, "dddd")</f>
        <v>Monday</v>
      </c>
      <c r="G352" s="3">
        <v>45194</v>
      </c>
      <c r="H352" s="4" t="s">
        <v>378</v>
      </c>
      <c r="I352" s="4" t="s">
        <v>20</v>
      </c>
      <c r="J352" s="4">
        <v>56</v>
      </c>
      <c r="K352" s="4" t="str" cm="1">
        <f t="array" ref="K352">_xlfn.IFS(J352&lt;30, "Young Adult", J352&lt;50, "Adult", J352&gt;=50, "Senior")</f>
        <v>Senior</v>
      </c>
      <c r="L352" s="4" t="s">
        <v>21</v>
      </c>
      <c r="M352" s="4">
        <v>3</v>
      </c>
      <c r="N352" s="5">
        <v>30</v>
      </c>
      <c r="O352">
        <f>M352*N352</f>
        <v>90</v>
      </c>
      <c r="P352" s="14">
        <f>O352*$S$3</f>
        <v>1.3499999999999999</v>
      </c>
    </row>
    <row r="353" spans="1:16">
      <c r="A353" s="2">
        <v>352</v>
      </c>
      <c r="B353" s="4">
        <f>YEAR(G353)</f>
        <v>2023</v>
      </c>
      <c r="C353" s="4">
        <f>MONTH(G353)</f>
        <v>6</v>
      </c>
      <c r="D353" s="4">
        <f>DAY(G353)</f>
        <v>11</v>
      </c>
      <c r="E353" s="4" t="str">
        <f>TEXT(G353, "mmmm")</f>
        <v>June</v>
      </c>
      <c r="F353" s="4" t="str">
        <f>TEXT(G353, "dddd")</f>
        <v>Sunday</v>
      </c>
      <c r="G353" s="3">
        <v>45088</v>
      </c>
      <c r="H353" s="4" t="s">
        <v>379</v>
      </c>
      <c r="I353" s="4" t="s">
        <v>16</v>
      </c>
      <c r="J353" s="4">
        <v>57</v>
      </c>
      <c r="K353" s="4" t="str" cm="1">
        <f t="array" ref="K353">_xlfn.IFS(J353&lt;30, "Young Adult", J353&lt;50, "Adult", J353&gt;=50, "Senior")</f>
        <v>Senior</v>
      </c>
      <c r="L353" s="4" t="s">
        <v>24</v>
      </c>
      <c r="M353" s="4">
        <v>2</v>
      </c>
      <c r="N353" s="5">
        <v>500</v>
      </c>
      <c r="O353">
        <f>M353*N353</f>
        <v>1000</v>
      </c>
      <c r="P353" s="14">
        <f>O353*$S$3</f>
        <v>15</v>
      </c>
    </row>
    <row r="354" spans="1:16">
      <c r="A354" s="2">
        <v>353</v>
      </c>
      <c r="B354" s="4">
        <f>YEAR(G354)</f>
        <v>2023</v>
      </c>
      <c r="C354" s="4">
        <f>MONTH(G354)</f>
        <v>5</v>
      </c>
      <c r="D354" s="4">
        <f>DAY(G354)</f>
        <v>14</v>
      </c>
      <c r="E354" s="4" t="str">
        <f>TEXT(G354, "mmmm")</f>
        <v>May</v>
      </c>
      <c r="F354" s="4" t="str">
        <f>TEXT(G354, "dddd")</f>
        <v>Sunday</v>
      </c>
      <c r="G354" s="3">
        <v>45060</v>
      </c>
      <c r="H354" s="4" t="s">
        <v>380</v>
      </c>
      <c r="I354" s="4" t="s">
        <v>16</v>
      </c>
      <c r="J354" s="4">
        <v>31</v>
      </c>
      <c r="K354" s="4" t="str" cm="1">
        <f t="array" ref="K354">_xlfn.IFS(J354&lt;30, "Young Adult", J354&lt;50, "Adult", J354&gt;=50, "Senior")</f>
        <v>Adult</v>
      </c>
      <c r="L354" s="4" t="s">
        <v>24</v>
      </c>
      <c r="M354" s="4">
        <v>1</v>
      </c>
      <c r="N354" s="5">
        <v>500</v>
      </c>
      <c r="O354">
        <f>M354*N354</f>
        <v>500</v>
      </c>
      <c r="P354" s="14">
        <f>O354*$S$3</f>
        <v>7.5</v>
      </c>
    </row>
    <row r="355" spans="1:16">
      <c r="A355" s="2">
        <v>354</v>
      </c>
      <c r="B355" s="4">
        <f>YEAR(G355)</f>
        <v>2023</v>
      </c>
      <c r="C355" s="4">
        <f>MONTH(G355)</f>
        <v>4</v>
      </c>
      <c r="D355" s="4">
        <f>DAY(G355)</f>
        <v>15</v>
      </c>
      <c r="E355" s="4" t="str">
        <f>TEXT(G355, "mmmm")</f>
        <v>April</v>
      </c>
      <c r="F355" s="4" t="str">
        <f>TEXT(G355, "dddd")</f>
        <v>Saturday</v>
      </c>
      <c r="G355" s="3">
        <v>45031</v>
      </c>
      <c r="H355" s="4" t="s">
        <v>381</v>
      </c>
      <c r="I355" s="4" t="s">
        <v>20</v>
      </c>
      <c r="J355" s="4">
        <v>49</v>
      </c>
      <c r="K355" s="4" t="str" cm="1">
        <f t="array" ref="K355">_xlfn.IFS(J355&lt;30, "Young Adult", J355&lt;50, "Adult", J355&gt;=50, "Senior")</f>
        <v>Adult</v>
      </c>
      <c r="L355" s="4" t="s">
        <v>17</v>
      </c>
      <c r="M355" s="4">
        <v>4</v>
      </c>
      <c r="N355" s="5">
        <v>50</v>
      </c>
      <c r="O355">
        <f>M355*N355</f>
        <v>200</v>
      </c>
      <c r="P355" s="14">
        <f>O355*$S$3</f>
        <v>3</v>
      </c>
    </row>
    <row r="356" spans="1:16">
      <c r="A356" s="2">
        <v>355</v>
      </c>
      <c r="B356" s="4">
        <f>YEAR(G356)</f>
        <v>2023</v>
      </c>
      <c r="C356" s="4">
        <f>MONTH(G356)</f>
        <v>12</v>
      </c>
      <c r="D356" s="4">
        <f>DAY(G356)</f>
        <v>9</v>
      </c>
      <c r="E356" s="4" t="str">
        <f>TEXT(G356, "mmmm")</f>
        <v>December</v>
      </c>
      <c r="F356" s="4" t="str">
        <f>TEXT(G356, "dddd")</f>
        <v>Saturday</v>
      </c>
      <c r="G356" s="3">
        <v>45269</v>
      </c>
      <c r="H356" s="4" t="s">
        <v>382</v>
      </c>
      <c r="I356" s="4" t="s">
        <v>20</v>
      </c>
      <c r="J356" s="4">
        <v>55</v>
      </c>
      <c r="K356" s="4" t="str" cm="1">
        <f t="array" ref="K356">_xlfn.IFS(J356&lt;30, "Young Adult", J356&lt;50, "Adult", J356&gt;=50, "Senior")</f>
        <v>Senior</v>
      </c>
      <c r="L356" s="4" t="s">
        <v>24</v>
      </c>
      <c r="M356" s="4">
        <v>1</v>
      </c>
      <c r="N356" s="5">
        <v>500</v>
      </c>
      <c r="O356">
        <f>M356*N356</f>
        <v>500</v>
      </c>
      <c r="P356" s="14">
        <f>O356*$S$3</f>
        <v>7.5</v>
      </c>
    </row>
    <row r="357" spans="1:16">
      <c r="A357" s="2">
        <v>356</v>
      </c>
      <c r="B357" s="4">
        <f>YEAR(G357)</f>
        <v>2023</v>
      </c>
      <c r="C357" s="4">
        <f>MONTH(G357)</f>
        <v>6</v>
      </c>
      <c r="D357" s="4">
        <f>DAY(G357)</f>
        <v>10</v>
      </c>
      <c r="E357" s="4" t="str">
        <f>TEXT(G357, "mmmm")</f>
        <v>June</v>
      </c>
      <c r="F357" s="4" t="str">
        <f>TEXT(G357, "dddd")</f>
        <v>Saturday</v>
      </c>
      <c r="G357" s="3">
        <v>45087</v>
      </c>
      <c r="H357" s="4" t="s">
        <v>383</v>
      </c>
      <c r="I357" s="4" t="s">
        <v>16</v>
      </c>
      <c r="J357" s="4">
        <v>50</v>
      </c>
      <c r="K357" s="4" t="str" cm="1">
        <f t="array" ref="K357">_xlfn.IFS(J357&lt;30, "Young Adult", J357&lt;50, "Adult", J357&gt;=50, "Senior")</f>
        <v>Senior</v>
      </c>
      <c r="L357" s="4" t="s">
        <v>24</v>
      </c>
      <c r="M357" s="4">
        <v>3</v>
      </c>
      <c r="N357" s="5">
        <v>500</v>
      </c>
      <c r="O357">
        <f>M357*N357</f>
        <v>1500</v>
      </c>
      <c r="P357" s="14">
        <f>O357*$S$3</f>
        <v>22.5</v>
      </c>
    </row>
    <row r="358" spans="1:16">
      <c r="A358" s="2">
        <v>357</v>
      </c>
      <c r="B358" s="4">
        <f>YEAR(G358)</f>
        <v>2023</v>
      </c>
      <c r="C358" s="4">
        <f>MONTH(G358)</f>
        <v>5</v>
      </c>
      <c r="D358" s="4">
        <f>DAY(G358)</f>
        <v>3</v>
      </c>
      <c r="E358" s="4" t="str">
        <f>TEXT(G358, "mmmm")</f>
        <v>May</v>
      </c>
      <c r="F358" s="4" t="str">
        <f>TEXT(G358, "dddd")</f>
        <v>Wednesday</v>
      </c>
      <c r="G358" s="3">
        <v>45049</v>
      </c>
      <c r="H358" s="4" t="s">
        <v>384</v>
      </c>
      <c r="I358" s="4" t="s">
        <v>20</v>
      </c>
      <c r="J358" s="4">
        <v>40</v>
      </c>
      <c r="K358" s="4" t="str" cm="1">
        <f t="array" ref="K358">_xlfn.IFS(J358&lt;30, "Young Adult", J358&lt;50, "Adult", J358&gt;=50, "Senior")</f>
        <v>Adult</v>
      </c>
      <c r="L358" s="4" t="s">
        <v>24</v>
      </c>
      <c r="M358" s="4">
        <v>3</v>
      </c>
      <c r="N358" s="5">
        <v>25</v>
      </c>
      <c r="O358">
        <f>M358*N358</f>
        <v>75</v>
      </c>
      <c r="P358" s="14">
        <f>O358*$S$3</f>
        <v>1.125</v>
      </c>
    </row>
    <row r="359" spans="1:16">
      <c r="A359" s="2">
        <v>358</v>
      </c>
      <c r="B359" s="4">
        <f>YEAR(G359)</f>
        <v>2023</v>
      </c>
      <c r="C359" s="4">
        <f>MONTH(G359)</f>
        <v>5</v>
      </c>
      <c r="D359" s="4">
        <f>DAY(G359)</f>
        <v>16</v>
      </c>
      <c r="E359" s="4" t="str">
        <f>TEXT(G359, "mmmm")</f>
        <v>May</v>
      </c>
      <c r="F359" s="4" t="str">
        <f>TEXT(G359, "dddd")</f>
        <v>Tuesday</v>
      </c>
      <c r="G359" s="3">
        <v>45062</v>
      </c>
      <c r="H359" s="4" t="s">
        <v>385</v>
      </c>
      <c r="I359" s="4" t="s">
        <v>20</v>
      </c>
      <c r="J359" s="4">
        <v>32</v>
      </c>
      <c r="K359" s="4" t="str" cm="1">
        <f t="array" ref="K359">_xlfn.IFS(J359&lt;30, "Young Adult", J359&lt;50, "Adult", J359&gt;=50, "Senior")</f>
        <v>Adult</v>
      </c>
      <c r="L359" s="4" t="s">
        <v>17</v>
      </c>
      <c r="M359" s="4">
        <v>1</v>
      </c>
      <c r="N359" s="5">
        <v>300</v>
      </c>
      <c r="O359">
        <f>M359*N359</f>
        <v>300</v>
      </c>
      <c r="P359" s="14">
        <f>O359*$S$3</f>
        <v>4.5</v>
      </c>
    </row>
    <row r="360" spans="1:16">
      <c r="A360" s="2">
        <v>359</v>
      </c>
      <c r="B360" s="4">
        <f>YEAR(G360)</f>
        <v>2023</v>
      </c>
      <c r="C360" s="4">
        <f>MONTH(G360)</f>
        <v>7</v>
      </c>
      <c r="D360" s="4">
        <f>DAY(G360)</f>
        <v>22</v>
      </c>
      <c r="E360" s="4" t="str">
        <f>TEXT(G360, "mmmm")</f>
        <v>July</v>
      </c>
      <c r="F360" s="4" t="str">
        <f>TEXT(G360, "dddd")</f>
        <v>Saturday</v>
      </c>
      <c r="G360" s="3">
        <v>45129</v>
      </c>
      <c r="H360" s="4" t="s">
        <v>386</v>
      </c>
      <c r="I360" s="4" t="s">
        <v>16</v>
      </c>
      <c r="J360" s="4">
        <v>50</v>
      </c>
      <c r="K360" s="4" t="str" cm="1">
        <f t="array" ref="K360">_xlfn.IFS(J360&lt;30, "Young Adult", J360&lt;50, "Adult", J360&gt;=50, "Senior")</f>
        <v>Senior</v>
      </c>
      <c r="L360" s="4" t="s">
        <v>21</v>
      </c>
      <c r="M360" s="4">
        <v>1</v>
      </c>
      <c r="N360" s="5">
        <v>50</v>
      </c>
      <c r="O360">
        <f>M360*N360</f>
        <v>50</v>
      </c>
      <c r="P360" s="14">
        <f>O360*$S$3</f>
        <v>0.75</v>
      </c>
    </row>
    <row r="361" spans="1:16">
      <c r="A361" s="2">
        <v>360</v>
      </c>
      <c r="B361" s="4">
        <f>YEAR(G361)</f>
        <v>2023</v>
      </c>
      <c r="C361" s="4">
        <f>MONTH(G361)</f>
        <v>3</v>
      </c>
      <c r="D361" s="4">
        <f>DAY(G361)</f>
        <v>9</v>
      </c>
      <c r="E361" s="4" t="str">
        <f>TEXT(G361, "mmmm")</f>
        <v>March</v>
      </c>
      <c r="F361" s="4" t="str">
        <f>TEXT(G361, "dddd")</f>
        <v>Thursday</v>
      </c>
      <c r="G361" s="3">
        <v>44994</v>
      </c>
      <c r="H361" s="4" t="s">
        <v>387</v>
      </c>
      <c r="I361" s="4" t="s">
        <v>16</v>
      </c>
      <c r="J361" s="4">
        <v>42</v>
      </c>
      <c r="K361" s="4" t="str" cm="1">
        <f t="array" ref="K361">_xlfn.IFS(J361&lt;30, "Young Adult", J361&lt;50, "Adult", J361&gt;=50, "Senior")</f>
        <v>Adult</v>
      </c>
      <c r="L361" s="4" t="s">
        <v>21</v>
      </c>
      <c r="M361" s="4">
        <v>4</v>
      </c>
      <c r="N361" s="5">
        <v>25</v>
      </c>
      <c r="O361">
        <f>M361*N361</f>
        <v>100</v>
      </c>
      <c r="P361" s="14">
        <f>O361*$S$3</f>
        <v>1.5</v>
      </c>
    </row>
    <row r="362" spans="1:16">
      <c r="A362" s="2">
        <v>361</v>
      </c>
      <c r="B362" s="4">
        <f>YEAR(G362)</f>
        <v>2023</v>
      </c>
      <c r="C362" s="4">
        <f>MONTH(G362)</f>
        <v>12</v>
      </c>
      <c r="D362" s="4">
        <f>DAY(G362)</f>
        <v>10</v>
      </c>
      <c r="E362" s="4" t="str">
        <f>TEXT(G362, "mmmm")</f>
        <v>December</v>
      </c>
      <c r="F362" s="4" t="str">
        <f>TEXT(G362, "dddd")</f>
        <v>Sunday</v>
      </c>
      <c r="G362" s="3">
        <v>45270</v>
      </c>
      <c r="H362" s="4" t="s">
        <v>388</v>
      </c>
      <c r="I362" s="4" t="s">
        <v>20</v>
      </c>
      <c r="J362" s="4">
        <v>34</v>
      </c>
      <c r="K362" s="4" t="str" cm="1">
        <f t="array" ref="K362">_xlfn.IFS(J362&lt;30, "Young Adult", J362&lt;50, "Adult", J362&gt;=50, "Senior")</f>
        <v>Adult</v>
      </c>
      <c r="L362" s="4" t="s">
        <v>24</v>
      </c>
      <c r="M362" s="4">
        <v>4</v>
      </c>
      <c r="N362" s="5">
        <v>300</v>
      </c>
      <c r="O362">
        <f>M362*N362</f>
        <v>1200</v>
      </c>
      <c r="P362" s="14">
        <f>O362*$S$3</f>
        <v>18</v>
      </c>
    </row>
    <row r="363" spans="1:16">
      <c r="A363" s="2">
        <v>362</v>
      </c>
      <c r="B363" s="4">
        <f>YEAR(G363)</f>
        <v>2023</v>
      </c>
      <c r="C363" s="4">
        <f>MONTH(G363)</f>
        <v>11</v>
      </c>
      <c r="D363" s="4">
        <f>DAY(G363)</f>
        <v>27</v>
      </c>
      <c r="E363" s="4" t="str">
        <f>TEXT(G363, "mmmm")</f>
        <v>November</v>
      </c>
      <c r="F363" s="4" t="str">
        <f>TEXT(G363, "dddd")</f>
        <v>Monday</v>
      </c>
      <c r="G363" s="3">
        <v>45257</v>
      </c>
      <c r="H363" s="4" t="s">
        <v>389</v>
      </c>
      <c r="I363" s="4" t="s">
        <v>16</v>
      </c>
      <c r="J363" s="4">
        <v>50</v>
      </c>
      <c r="K363" s="4" t="str" cm="1">
        <f t="array" ref="K363">_xlfn.IFS(J363&lt;30, "Young Adult", J363&lt;50, "Adult", J363&gt;=50, "Senior")</f>
        <v>Senior</v>
      </c>
      <c r="L363" s="4" t="s">
        <v>21</v>
      </c>
      <c r="M363" s="4">
        <v>1</v>
      </c>
      <c r="N363" s="5">
        <v>25</v>
      </c>
      <c r="O363">
        <f>M363*N363</f>
        <v>25</v>
      </c>
      <c r="P363" s="14">
        <f>O363*$S$3</f>
        <v>0.375</v>
      </c>
    </row>
    <row r="364" spans="1:16">
      <c r="A364" s="2">
        <v>363</v>
      </c>
      <c r="B364" s="4">
        <f>YEAR(G364)</f>
        <v>2023</v>
      </c>
      <c r="C364" s="4">
        <f>MONTH(G364)</f>
        <v>6</v>
      </c>
      <c r="D364" s="4">
        <f>DAY(G364)</f>
        <v>3</v>
      </c>
      <c r="E364" s="4" t="str">
        <f>TEXT(G364, "mmmm")</f>
        <v>June</v>
      </c>
      <c r="F364" s="4" t="str">
        <f>TEXT(G364, "dddd")</f>
        <v>Saturday</v>
      </c>
      <c r="G364" s="3">
        <v>45080</v>
      </c>
      <c r="H364" s="4" t="s">
        <v>390</v>
      </c>
      <c r="I364" s="4" t="s">
        <v>16</v>
      </c>
      <c r="J364" s="4">
        <v>64</v>
      </c>
      <c r="K364" s="4" t="str" cm="1">
        <f t="array" ref="K364">_xlfn.IFS(J364&lt;30, "Young Adult", J364&lt;50, "Adult", J364&gt;=50, "Senior")</f>
        <v>Senior</v>
      </c>
      <c r="L364" s="4" t="s">
        <v>17</v>
      </c>
      <c r="M364" s="4">
        <v>1</v>
      </c>
      <c r="N364" s="5">
        <v>25</v>
      </c>
      <c r="O364">
        <f>M364*N364</f>
        <v>25</v>
      </c>
      <c r="P364" s="14">
        <f>O364*$S$3</f>
        <v>0.375</v>
      </c>
    </row>
    <row r="365" spans="1:16">
      <c r="A365" s="2">
        <v>364</v>
      </c>
      <c r="B365" s="4">
        <f>YEAR(G365)</f>
        <v>2023</v>
      </c>
      <c r="C365" s="4">
        <f>MONTH(G365)</f>
        <v>8</v>
      </c>
      <c r="D365" s="4">
        <f>DAY(G365)</f>
        <v>23</v>
      </c>
      <c r="E365" s="4" t="str">
        <f>TEXT(G365, "mmmm")</f>
        <v>August</v>
      </c>
      <c r="F365" s="4" t="str">
        <f>TEXT(G365, "dddd")</f>
        <v>Wednesday</v>
      </c>
      <c r="G365" s="3">
        <v>45161</v>
      </c>
      <c r="H365" s="4" t="s">
        <v>391</v>
      </c>
      <c r="I365" s="4" t="s">
        <v>20</v>
      </c>
      <c r="J365" s="4">
        <v>19</v>
      </c>
      <c r="K365" s="4" t="str" cm="1">
        <f t="array" ref="K365">_xlfn.IFS(J365&lt;30, "Young Adult", J365&lt;50, "Adult", J365&gt;=50, "Senior")</f>
        <v>Young Adult</v>
      </c>
      <c r="L365" s="4" t="s">
        <v>17</v>
      </c>
      <c r="M365" s="4">
        <v>1</v>
      </c>
      <c r="N365" s="5">
        <v>500</v>
      </c>
      <c r="O365">
        <f>M365*N365</f>
        <v>500</v>
      </c>
      <c r="P365" s="14">
        <f>O365*$S$3</f>
        <v>7.5</v>
      </c>
    </row>
    <row r="366" spans="1:16">
      <c r="A366" s="2">
        <v>365</v>
      </c>
      <c r="B366" s="4">
        <f>YEAR(G366)</f>
        <v>2023</v>
      </c>
      <c r="C366" s="4">
        <f>MONTH(G366)</f>
        <v>6</v>
      </c>
      <c r="D366" s="4">
        <f>DAY(G366)</f>
        <v>11</v>
      </c>
      <c r="E366" s="4" t="str">
        <f>TEXT(G366, "mmmm")</f>
        <v>June</v>
      </c>
      <c r="F366" s="4" t="str">
        <f>TEXT(G366, "dddd")</f>
        <v>Sunday</v>
      </c>
      <c r="G366" s="3">
        <v>45088</v>
      </c>
      <c r="H366" s="4" t="s">
        <v>392</v>
      </c>
      <c r="I366" s="4" t="s">
        <v>16</v>
      </c>
      <c r="J366" s="4">
        <v>31</v>
      </c>
      <c r="K366" s="4" t="str" cm="1">
        <f t="array" ref="K366">_xlfn.IFS(J366&lt;30, "Young Adult", J366&lt;50, "Adult", J366&gt;=50, "Senior")</f>
        <v>Adult</v>
      </c>
      <c r="L366" s="4" t="s">
        <v>21</v>
      </c>
      <c r="M366" s="4">
        <v>1</v>
      </c>
      <c r="N366" s="5">
        <v>300</v>
      </c>
      <c r="O366">
        <f>M366*N366</f>
        <v>300</v>
      </c>
      <c r="P366" s="14">
        <f>O366*$S$3</f>
        <v>4.5</v>
      </c>
    </row>
    <row r="367" spans="1:16">
      <c r="A367" s="2">
        <v>366</v>
      </c>
      <c r="B367" s="4">
        <f>YEAR(G367)</f>
        <v>2023</v>
      </c>
      <c r="C367" s="4">
        <f>MONTH(G367)</f>
        <v>2</v>
      </c>
      <c r="D367" s="4">
        <f>DAY(G367)</f>
        <v>7</v>
      </c>
      <c r="E367" s="4" t="str">
        <f>TEXT(G367, "mmmm")</f>
        <v>February</v>
      </c>
      <c r="F367" s="4" t="str">
        <f>TEXT(G367, "dddd")</f>
        <v>Tuesday</v>
      </c>
      <c r="G367" s="3">
        <v>44964</v>
      </c>
      <c r="H367" s="4" t="s">
        <v>393</v>
      </c>
      <c r="I367" s="4" t="s">
        <v>16</v>
      </c>
      <c r="J367" s="4">
        <v>57</v>
      </c>
      <c r="K367" s="4" t="str" cm="1">
        <f t="array" ref="K367">_xlfn.IFS(J367&lt;30, "Young Adult", J367&lt;50, "Adult", J367&gt;=50, "Senior")</f>
        <v>Senior</v>
      </c>
      <c r="L367" s="4" t="s">
        <v>21</v>
      </c>
      <c r="M367" s="4">
        <v>2</v>
      </c>
      <c r="N367" s="5">
        <v>50</v>
      </c>
      <c r="O367">
        <f>M367*N367</f>
        <v>100</v>
      </c>
      <c r="P367" s="14">
        <f>O367*$S$3</f>
        <v>1.5</v>
      </c>
    </row>
    <row r="368" spans="1:16">
      <c r="A368" s="2">
        <v>367</v>
      </c>
      <c r="B368" s="4">
        <f>YEAR(G368)</f>
        <v>2023</v>
      </c>
      <c r="C368" s="4">
        <f>MONTH(G368)</f>
        <v>1</v>
      </c>
      <c r="D368" s="4">
        <f>DAY(G368)</f>
        <v>5</v>
      </c>
      <c r="E368" s="4" t="str">
        <f>TEXT(G368, "mmmm")</f>
        <v>January</v>
      </c>
      <c r="F368" s="4" t="str">
        <f>TEXT(G368, "dddd")</f>
        <v>Thursday</v>
      </c>
      <c r="G368" s="3">
        <v>44931</v>
      </c>
      <c r="H368" s="4" t="s">
        <v>394</v>
      </c>
      <c r="I368" s="4" t="s">
        <v>20</v>
      </c>
      <c r="J368" s="4">
        <v>57</v>
      </c>
      <c r="K368" s="4" t="str" cm="1">
        <f t="array" ref="K368">_xlfn.IFS(J368&lt;30, "Young Adult", J368&lt;50, "Adult", J368&gt;=50, "Senior")</f>
        <v>Senior</v>
      </c>
      <c r="L368" s="4" t="s">
        <v>24</v>
      </c>
      <c r="M368" s="4">
        <v>1</v>
      </c>
      <c r="N368" s="5">
        <v>50</v>
      </c>
      <c r="O368">
        <f>M368*N368</f>
        <v>50</v>
      </c>
      <c r="P368" s="14">
        <f>O368*$S$3</f>
        <v>0.75</v>
      </c>
    </row>
    <row r="369" spans="1:16">
      <c r="A369" s="2">
        <v>368</v>
      </c>
      <c r="B369" s="4">
        <f>YEAR(G369)</f>
        <v>2023</v>
      </c>
      <c r="C369" s="4">
        <f>MONTH(G369)</f>
        <v>8</v>
      </c>
      <c r="D369" s="4">
        <f>DAY(G369)</f>
        <v>23</v>
      </c>
      <c r="E369" s="4" t="str">
        <f>TEXT(G369, "mmmm")</f>
        <v>August</v>
      </c>
      <c r="F369" s="4" t="str">
        <f>TEXT(G369, "dddd")</f>
        <v>Wednesday</v>
      </c>
      <c r="G369" s="3">
        <v>45161</v>
      </c>
      <c r="H369" s="4" t="s">
        <v>395</v>
      </c>
      <c r="I369" s="4" t="s">
        <v>20</v>
      </c>
      <c r="J369" s="4">
        <v>56</v>
      </c>
      <c r="K369" s="4" t="str" cm="1">
        <f t="array" ref="K369">_xlfn.IFS(J369&lt;30, "Young Adult", J369&lt;50, "Adult", J369&gt;=50, "Senior")</f>
        <v>Senior</v>
      </c>
      <c r="L369" s="4" t="s">
        <v>21</v>
      </c>
      <c r="M369" s="4">
        <v>4</v>
      </c>
      <c r="N369" s="5">
        <v>300</v>
      </c>
      <c r="O369">
        <f>M369*N369</f>
        <v>1200</v>
      </c>
      <c r="P369" s="14">
        <f>O369*$S$3</f>
        <v>18</v>
      </c>
    </row>
    <row r="370" spans="1:16">
      <c r="A370" s="2">
        <v>369</v>
      </c>
      <c r="B370" s="4">
        <f>YEAR(G370)</f>
        <v>2023</v>
      </c>
      <c r="C370" s="4">
        <f>MONTH(G370)</f>
        <v>11</v>
      </c>
      <c r="D370" s="4">
        <f>DAY(G370)</f>
        <v>15</v>
      </c>
      <c r="E370" s="4" t="str">
        <f>TEXT(G370, "mmmm")</f>
        <v>November</v>
      </c>
      <c r="F370" s="4" t="str">
        <f>TEXT(G370, "dddd")</f>
        <v>Wednesday</v>
      </c>
      <c r="G370" s="3">
        <v>45245</v>
      </c>
      <c r="H370" s="4" t="s">
        <v>396</v>
      </c>
      <c r="I370" s="4" t="s">
        <v>16</v>
      </c>
      <c r="J370" s="4">
        <v>23</v>
      </c>
      <c r="K370" s="4" t="str" cm="1">
        <f t="array" ref="K370">_xlfn.IFS(J370&lt;30, "Young Adult", J370&lt;50, "Adult", J370&gt;=50, "Senior")</f>
        <v>Young Adult</v>
      </c>
      <c r="L370" s="4" t="s">
        <v>24</v>
      </c>
      <c r="M370" s="4">
        <v>3</v>
      </c>
      <c r="N370" s="5">
        <v>500</v>
      </c>
      <c r="O370">
        <f>M370*N370</f>
        <v>1500</v>
      </c>
      <c r="P370" s="14">
        <f>O370*$S$3</f>
        <v>22.5</v>
      </c>
    </row>
    <row r="371" spans="1:16">
      <c r="A371" s="2">
        <v>370</v>
      </c>
      <c r="B371" s="4">
        <f>YEAR(G371)</f>
        <v>2023</v>
      </c>
      <c r="C371" s="4">
        <f>MONTH(G371)</f>
        <v>10</v>
      </c>
      <c r="D371" s="4">
        <f>DAY(G371)</f>
        <v>16</v>
      </c>
      <c r="E371" s="4" t="str">
        <f>TEXT(G371, "mmmm")</f>
        <v>October</v>
      </c>
      <c r="F371" s="4" t="str">
        <f>TEXT(G371, "dddd")</f>
        <v>Monday</v>
      </c>
      <c r="G371" s="3">
        <v>45215</v>
      </c>
      <c r="H371" s="4" t="s">
        <v>397</v>
      </c>
      <c r="I371" s="4" t="s">
        <v>16</v>
      </c>
      <c r="J371" s="4">
        <v>23</v>
      </c>
      <c r="K371" s="4" t="str" cm="1">
        <f t="array" ref="K371">_xlfn.IFS(J371&lt;30, "Young Adult", J371&lt;50, "Adult", J371&gt;=50, "Senior")</f>
        <v>Young Adult</v>
      </c>
      <c r="L371" s="4" t="s">
        <v>24</v>
      </c>
      <c r="M371" s="4">
        <v>2</v>
      </c>
      <c r="N371" s="5">
        <v>30</v>
      </c>
      <c r="O371">
        <f>M371*N371</f>
        <v>60</v>
      </c>
      <c r="P371" s="14">
        <f>O371*$S$3</f>
        <v>0.89999999999999991</v>
      </c>
    </row>
    <row r="372" spans="1:16">
      <c r="A372" s="2">
        <v>371</v>
      </c>
      <c r="B372" s="4">
        <f>YEAR(G372)</f>
        <v>2023</v>
      </c>
      <c r="C372" s="4">
        <f>MONTH(G372)</f>
        <v>2</v>
      </c>
      <c r="D372" s="4">
        <f>DAY(G372)</f>
        <v>21</v>
      </c>
      <c r="E372" s="4" t="str">
        <f>TEXT(G372, "mmmm")</f>
        <v>February</v>
      </c>
      <c r="F372" s="4" t="str">
        <f>TEXT(G372, "dddd")</f>
        <v>Tuesday</v>
      </c>
      <c r="G372" s="3">
        <v>44978</v>
      </c>
      <c r="H372" s="4" t="s">
        <v>398</v>
      </c>
      <c r="I372" s="4" t="s">
        <v>20</v>
      </c>
      <c r="J372" s="4">
        <v>20</v>
      </c>
      <c r="K372" s="4" t="str" cm="1">
        <f t="array" ref="K372">_xlfn.IFS(J372&lt;30, "Young Adult", J372&lt;50, "Adult", J372&gt;=50, "Senior")</f>
        <v>Young Adult</v>
      </c>
      <c r="L372" s="4" t="s">
        <v>17</v>
      </c>
      <c r="M372" s="4">
        <v>1</v>
      </c>
      <c r="N372" s="5">
        <v>25</v>
      </c>
      <c r="O372">
        <f>M372*N372</f>
        <v>25</v>
      </c>
      <c r="P372" s="14">
        <f>O372*$S$3</f>
        <v>0.375</v>
      </c>
    </row>
    <row r="373" spans="1:16">
      <c r="A373" s="2">
        <v>372</v>
      </c>
      <c r="B373" s="4">
        <f>YEAR(G373)</f>
        <v>2023</v>
      </c>
      <c r="C373" s="4">
        <f>MONTH(G373)</f>
        <v>2</v>
      </c>
      <c r="D373" s="4">
        <f>DAY(G373)</f>
        <v>7</v>
      </c>
      <c r="E373" s="4" t="str">
        <f>TEXT(G373, "mmmm")</f>
        <v>February</v>
      </c>
      <c r="F373" s="4" t="str">
        <f>TEXT(G373, "dddd")</f>
        <v>Tuesday</v>
      </c>
      <c r="G373" s="3">
        <v>44964</v>
      </c>
      <c r="H373" s="4" t="s">
        <v>399</v>
      </c>
      <c r="I373" s="4" t="s">
        <v>20</v>
      </c>
      <c r="J373" s="4">
        <v>24</v>
      </c>
      <c r="K373" s="4" t="str" cm="1">
        <f t="array" ref="K373">_xlfn.IFS(J373&lt;30, "Young Adult", J373&lt;50, "Adult", J373&gt;=50, "Senior")</f>
        <v>Young Adult</v>
      </c>
      <c r="L373" s="4" t="s">
        <v>17</v>
      </c>
      <c r="M373" s="4">
        <v>3</v>
      </c>
      <c r="N373" s="5">
        <v>500</v>
      </c>
      <c r="O373">
        <f>M373*N373</f>
        <v>1500</v>
      </c>
      <c r="P373" s="14">
        <f>O373*$S$3</f>
        <v>22.5</v>
      </c>
    </row>
    <row r="374" spans="1:16">
      <c r="A374" s="2">
        <v>373</v>
      </c>
      <c r="B374" s="4">
        <f>YEAR(G374)</f>
        <v>2023</v>
      </c>
      <c r="C374" s="4">
        <f>MONTH(G374)</f>
        <v>10</v>
      </c>
      <c r="D374" s="4">
        <f>DAY(G374)</f>
        <v>3</v>
      </c>
      <c r="E374" s="4" t="str">
        <f>TEXT(G374, "mmmm")</f>
        <v>October</v>
      </c>
      <c r="F374" s="4" t="str">
        <f>TEXT(G374, "dddd")</f>
        <v>Tuesday</v>
      </c>
      <c r="G374" s="3">
        <v>45202</v>
      </c>
      <c r="H374" s="4" t="s">
        <v>400</v>
      </c>
      <c r="I374" s="4" t="s">
        <v>20</v>
      </c>
      <c r="J374" s="4">
        <v>25</v>
      </c>
      <c r="K374" s="4" t="str" cm="1">
        <f t="array" ref="K374">_xlfn.IFS(J374&lt;30, "Young Adult", J374&lt;50, "Adult", J374&gt;=50, "Senior")</f>
        <v>Young Adult</v>
      </c>
      <c r="L374" s="4" t="s">
        <v>17</v>
      </c>
      <c r="M374" s="4">
        <v>2</v>
      </c>
      <c r="N374" s="5">
        <v>300</v>
      </c>
      <c r="O374">
        <f>M374*N374</f>
        <v>600</v>
      </c>
      <c r="P374" s="14">
        <f>O374*$S$3</f>
        <v>9</v>
      </c>
    </row>
    <row r="375" spans="1:16">
      <c r="A375" s="2">
        <v>374</v>
      </c>
      <c r="B375" s="4">
        <f>YEAR(G375)</f>
        <v>2023</v>
      </c>
      <c r="C375" s="4">
        <f>MONTH(G375)</f>
        <v>4</v>
      </c>
      <c r="D375" s="4">
        <f>DAY(G375)</f>
        <v>20</v>
      </c>
      <c r="E375" s="4" t="str">
        <f>TEXT(G375, "mmmm")</f>
        <v>April</v>
      </c>
      <c r="F375" s="4" t="str">
        <f>TEXT(G375, "dddd")</f>
        <v>Thursday</v>
      </c>
      <c r="G375" s="3">
        <v>45036</v>
      </c>
      <c r="H375" s="4" t="s">
        <v>401</v>
      </c>
      <c r="I375" s="4" t="s">
        <v>20</v>
      </c>
      <c r="J375" s="4">
        <v>59</v>
      </c>
      <c r="K375" s="4" t="str" cm="1">
        <f t="array" ref="K375">_xlfn.IFS(J375&lt;30, "Young Adult", J375&lt;50, "Adult", J375&gt;=50, "Senior")</f>
        <v>Senior</v>
      </c>
      <c r="L375" s="4" t="s">
        <v>17</v>
      </c>
      <c r="M375" s="4">
        <v>3</v>
      </c>
      <c r="N375" s="5">
        <v>25</v>
      </c>
      <c r="O375">
        <f>M375*N375</f>
        <v>75</v>
      </c>
      <c r="P375" s="14">
        <f>O375*$S$3</f>
        <v>1.125</v>
      </c>
    </row>
    <row r="376" spans="1:16">
      <c r="A376" s="2">
        <v>375</v>
      </c>
      <c r="B376" s="4">
        <f>YEAR(G376)</f>
        <v>2023</v>
      </c>
      <c r="C376" s="4">
        <f>MONTH(G376)</f>
        <v>9</v>
      </c>
      <c r="D376" s="4">
        <f>DAY(G376)</f>
        <v>17</v>
      </c>
      <c r="E376" s="4" t="str">
        <f>TEXT(G376, "mmmm")</f>
        <v>September</v>
      </c>
      <c r="F376" s="4" t="str">
        <f>TEXT(G376, "dddd")</f>
        <v>Sunday</v>
      </c>
      <c r="G376" s="3">
        <v>45186</v>
      </c>
      <c r="H376" s="4" t="s">
        <v>402</v>
      </c>
      <c r="I376" s="4" t="s">
        <v>16</v>
      </c>
      <c r="J376" s="4">
        <v>32</v>
      </c>
      <c r="K376" s="4" t="str" cm="1">
        <f t="array" ref="K376">_xlfn.IFS(J376&lt;30, "Young Adult", J376&lt;50, "Adult", J376&gt;=50, "Senior")</f>
        <v>Adult</v>
      </c>
      <c r="L376" s="4" t="s">
        <v>21</v>
      </c>
      <c r="M376" s="4">
        <v>1</v>
      </c>
      <c r="N376" s="5">
        <v>50</v>
      </c>
      <c r="O376">
        <f>M376*N376</f>
        <v>50</v>
      </c>
      <c r="P376" s="14">
        <f>O376*$S$3</f>
        <v>0.75</v>
      </c>
    </row>
    <row r="377" spans="1:16">
      <c r="A377" s="2">
        <v>376</v>
      </c>
      <c r="B377" s="4">
        <f>YEAR(G377)</f>
        <v>2023</v>
      </c>
      <c r="C377" s="4">
        <f>MONTH(G377)</f>
        <v>5</v>
      </c>
      <c r="D377" s="4">
        <f>DAY(G377)</f>
        <v>16</v>
      </c>
      <c r="E377" s="4" t="str">
        <f>TEXT(G377, "mmmm")</f>
        <v>May</v>
      </c>
      <c r="F377" s="4" t="str">
        <f>TEXT(G377, "dddd")</f>
        <v>Tuesday</v>
      </c>
      <c r="G377" s="3">
        <v>45062</v>
      </c>
      <c r="H377" s="4" t="s">
        <v>403</v>
      </c>
      <c r="I377" s="4" t="s">
        <v>20</v>
      </c>
      <c r="J377" s="4">
        <v>64</v>
      </c>
      <c r="K377" s="4" t="str" cm="1">
        <f t="array" ref="K377">_xlfn.IFS(J377&lt;30, "Young Adult", J377&lt;50, "Adult", J377&gt;=50, "Senior")</f>
        <v>Senior</v>
      </c>
      <c r="L377" s="4" t="s">
        <v>17</v>
      </c>
      <c r="M377" s="4">
        <v>1</v>
      </c>
      <c r="N377" s="5">
        <v>30</v>
      </c>
      <c r="O377">
        <f>M377*N377</f>
        <v>30</v>
      </c>
      <c r="P377" s="14">
        <f>O377*$S$3</f>
        <v>0.44999999999999996</v>
      </c>
    </row>
    <row r="378" spans="1:16">
      <c r="A378" s="2">
        <v>377</v>
      </c>
      <c r="B378" s="4">
        <f>YEAR(G378)</f>
        <v>2023</v>
      </c>
      <c r="C378" s="4">
        <f>MONTH(G378)</f>
        <v>3</v>
      </c>
      <c r="D378" s="4">
        <f>DAY(G378)</f>
        <v>9</v>
      </c>
      <c r="E378" s="4" t="str">
        <f>TEXT(G378, "mmmm")</f>
        <v>March</v>
      </c>
      <c r="F378" s="4" t="str">
        <f>TEXT(G378, "dddd")</f>
        <v>Thursday</v>
      </c>
      <c r="G378" s="3">
        <v>44994</v>
      </c>
      <c r="H378" s="4" t="s">
        <v>404</v>
      </c>
      <c r="I378" s="4" t="s">
        <v>20</v>
      </c>
      <c r="J378" s="4">
        <v>46</v>
      </c>
      <c r="K378" s="4" t="str" cm="1">
        <f t="array" ref="K378">_xlfn.IFS(J378&lt;30, "Young Adult", J378&lt;50, "Adult", J378&gt;=50, "Senior")</f>
        <v>Adult</v>
      </c>
      <c r="L378" s="4" t="s">
        <v>21</v>
      </c>
      <c r="M378" s="4">
        <v>4</v>
      </c>
      <c r="N378" s="5">
        <v>50</v>
      </c>
      <c r="O378">
        <f>M378*N378</f>
        <v>200</v>
      </c>
      <c r="P378" s="14">
        <f>O378*$S$3</f>
        <v>3</v>
      </c>
    </row>
    <row r="379" spans="1:16">
      <c r="A379" s="2">
        <v>378</v>
      </c>
      <c r="B379" s="4">
        <f>YEAR(G379)</f>
        <v>2023</v>
      </c>
      <c r="C379" s="4">
        <f>MONTH(G379)</f>
        <v>6</v>
      </c>
      <c r="D379" s="4">
        <f>DAY(G379)</f>
        <v>28</v>
      </c>
      <c r="E379" s="4" t="str">
        <f>TEXT(G379, "mmmm")</f>
        <v>June</v>
      </c>
      <c r="F379" s="4" t="str">
        <f>TEXT(G379, "dddd")</f>
        <v>Wednesday</v>
      </c>
      <c r="G379" s="3">
        <v>45105</v>
      </c>
      <c r="H379" s="4" t="s">
        <v>405</v>
      </c>
      <c r="I379" s="4" t="s">
        <v>16</v>
      </c>
      <c r="J379" s="4">
        <v>50</v>
      </c>
      <c r="K379" s="4" t="str" cm="1">
        <f t="array" ref="K379">_xlfn.IFS(J379&lt;30, "Young Adult", J379&lt;50, "Adult", J379&gt;=50, "Senior")</f>
        <v>Senior</v>
      </c>
      <c r="L379" s="4" t="s">
        <v>17</v>
      </c>
      <c r="M379" s="4">
        <v>1</v>
      </c>
      <c r="N379" s="5">
        <v>300</v>
      </c>
      <c r="O379">
        <f>M379*N379</f>
        <v>300</v>
      </c>
      <c r="P379" s="14">
        <f>O379*$S$3</f>
        <v>4.5</v>
      </c>
    </row>
    <row r="380" spans="1:16">
      <c r="A380" s="2">
        <v>379</v>
      </c>
      <c r="B380" s="4">
        <f>YEAR(G380)</f>
        <v>2023</v>
      </c>
      <c r="C380" s="4">
        <f>MONTH(G380)</f>
        <v>2</v>
      </c>
      <c r="D380" s="4">
        <f>DAY(G380)</f>
        <v>5</v>
      </c>
      <c r="E380" s="4" t="str">
        <f>TEXT(G380, "mmmm")</f>
        <v>February</v>
      </c>
      <c r="F380" s="4" t="str">
        <f>TEXT(G380, "dddd")</f>
        <v>Sunday</v>
      </c>
      <c r="G380" s="3">
        <v>44962</v>
      </c>
      <c r="H380" s="4" t="s">
        <v>406</v>
      </c>
      <c r="I380" s="4" t="s">
        <v>20</v>
      </c>
      <c r="J380" s="4">
        <v>47</v>
      </c>
      <c r="K380" s="4" t="str" cm="1">
        <f t="array" ref="K380">_xlfn.IFS(J380&lt;30, "Young Adult", J380&lt;50, "Adult", J380&gt;=50, "Senior")</f>
        <v>Adult</v>
      </c>
      <c r="L380" s="4" t="s">
        <v>21</v>
      </c>
      <c r="M380" s="4">
        <v>1</v>
      </c>
      <c r="N380" s="5">
        <v>25</v>
      </c>
      <c r="O380">
        <f>M380*N380</f>
        <v>25</v>
      </c>
      <c r="P380" s="14">
        <f>O380*$S$3</f>
        <v>0.375</v>
      </c>
    </row>
    <row r="381" spans="1:16">
      <c r="A381" s="2">
        <v>380</v>
      </c>
      <c r="B381" s="4">
        <f>YEAR(G381)</f>
        <v>2023</v>
      </c>
      <c r="C381" s="4">
        <f>MONTH(G381)</f>
        <v>5</v>
      </c>
      <c r="D381" s="4">
        <f>DAY(G381)</f>
        <v>6</v>
      </c>
      <c r="E381" s="4" t="str">
        <f>TEXT(G381, "mmmm")</f>
        <v>May</v>
      </c>
      <c r="F381" s="4" t="str">
        <f>TEXT(G381, "dddd")</f>
        <v>Saturday</v>
      </c>
      <c r="G381" s="3">
        <v>45052</v>
      </c>
      <c r="H381" s="4" t="s">
        <v>407</v>
      </c>
      <c r="I381" s="4" t="s">
        <v>16</v>
      </c>
      <c r="J381" s="4">
        <v>56</v>
      </c>
      <c r="K381" s="4" t="str" cm="1">
        <f t="array" ref="K381">_xlfn.IFS(J381&lt;30, "Young Adult", J381&lt;50, "Adult", J381&gt;=50, "Senior")</f>
        <v>Senior</v>
      </c>
      <c r="L381" s="4" t="s">
        <v>24</v>
      </c>
      <c r="M381" s="4">
        <v>2</v>
      </c>
      <c r="N381" s="5">
        <v>300</v>
      </c>
      <c r="O381">
        <f>M381*N381</f>
        <v>600</v>
      </c>
      <c r="P381" s="14">
        <f>O381*$S$3</f>
        <v>9</v>
      </c>
    </row>
    <row r="382" spans="1:16">
      <c r="A382" s="2">
        <v>381</v>
      </c>
      <c r="B382" s="4">
        <f>YEAR(G382)</f>
        <v>2023</v>
      </c>
      <c r="C382" s="4">
        <f>MONTH(G382)</f>
        <v>7</v>
      </c>
      <c r="D382" s="4">
        <f>DAY(G382)</f>
        <v>9</v>
      </c>
      <c r="E382" s="4" t="str">
        <f>TEXT(G382, "mmmm")</f>
        <v>July</v>
      </c>
      <c r="F382" s="4" t="str">
        <f>TEXT(G382, "dddd")</f>
        <v>Sunday</v>
      </c>
      <c r="G382" s="3">
        <v>45116</v>
      </c>
      <c r="H382" s="4" t="s">
        <v>408</v>
      </c>
      <c r="I382" s="4" t="s">
        <v>20</v>
      </c>
      <c r="J382" s="4">
        <v>44</v>
      </c>
      <c r="K382" s="4" t="str" cm="1">
        <f t="array" ref="K382">_xlfn.IFS(J382&lt;30, "Young Adult", J382&lt;50, "Adult", J382&gt;=50, "Senior")</f>
        <v>Adult</v>
      </c>
      <c r="L382" s="4" t="s">
        <v>21</v>
      </c>
      <c r="M382" s="4">
        <v>4</v>
      </c>
      <c r="N382" s="5">
        <v>25</v>
      </c>
      <c r="O382">
        <f>M382*N382</f>
        <v>100</v>
      </c>
      <c r="P382" s="14">
        <f>O382*$S$3</f>
        <v>1.5</v>
      </c>
    </row>
    <row r="383" spans="1:16">
      <c r="A383" s="2">
        <v>382</v>
      </c>
      <c r="B383" s="4">
        <f>YEAR(G383)</f>
        <v>2023</v>
      </c>
      <c r="C383" s="4">
        <f>MONTH(G383)</f>
        <v>5</v>
      </c>
      <c r="D383" s="4">
        <f>DAY(G383)</f>
        <v>26</v>
      </c>
      <c r="E383" s="4" t="str">
        <f>TEXT(G383, "mmmm")</f>
        <v>May</v>
      </c>
      <c r="F383" s="4" t="str">
        <f>TEXT(G383, "dddd")</f>
        <v>Friday</v>
      </c>
      <c r="G383" s="3">
        <v>45072</v>
      </c>
      <c r="H383" s="4" t="s">
        <v>409</v>
      </c>
      <c r="I383" s="4" t="s">
        <v>20</v>
      </c>
      <c r="J383" s="4">
        <v>53</v>
      </c>
      <c r="K383" s="4" t="str" cm="1">
        <f t="array" ref="K383">_xlfn.IFS(J383&lt;30, "Young Adult", J383&lt;50, "Adult", J383&gt;=50, "Senior")</f>
        <v>Senior</v>
      </c>
      <c r="L383" s="4" t="s">
        <v>21</v>
      </c>
      <c r="M383" s="4">
        <v>2</v>
      </c>
      <c r="N383" s="5">
        <v>500</v>
      </c>
      <c r="O383">
        <f>M383*N383</f>
        <v>1000</v>
      </c>
      <c r="P383" s="14">
        <f>O383*$S$3</f>
        <v>15</v>
      </c>
    </row>
    <row r="384" spans="1:16">
      <c r="A384" s="2">
        <v>383</v>
      </c>
      <c r="B384" s="4">
        <f>YEAR(G384)</f>
        <v>2023</v>
      </c>
      <c r="C384" s="4">
        <f>MONTH(G384)</f>
        <v>3</v>
      </c>
      <c r="D384" s="4">
        <f>DAY(G384)</f>
        <v>22</v>
      </c>
      <c r="E384" s="4" t="str">
        <f>TEXT(G384, "mmmm")</f>
        <v>March</v>
      </c>
      <c r="F384" s="4" t="str">
        <f>TEXT(G384, "dddd")</f>
        <v>Wednesday</v>
      </c>
      <c r="G384" s="3">
        <v>45007</v>
      </c>
      <c r="H384" s="4" t="s">
        <v>410</v>
      </c>
      <c r="I384" s="4" t="s">
        <v>20</v>
      </c>
      <c r="J384" s="4">
        <v>46</v>
      </c>
      <c r="K384" s="4" t="str" cm="1">
        <f t="array" ref="K384">_xlfn.IFS(J384&lt;30, "Young Adult", J384&lt;50, "Adult", J384&gt;=50, "Senior")</f>
        <v>Adult</v>
      </c>
      <c r="L384" s="4" t="s">
        <v>17</v>
      </c>
      <c r="M384" s="4">
        <v>3</v>
      </c>
      <c r="N384" s="5">
        <v>30</v>
      </c>
      <c r="O384">
        <f>M384*N384</f>
        <v>90</v>
      </c>
      <c r="P384" s="14">
        <f>O384*$S$3</f>
        <v>1.3499999999999999</v>
      </c>
    </row>
    <row r="385" spans="1:16">
      <c r="A385" s="2">
        <v>384</v>
      </c>
      <c r="B385" s="4">
        <f>YEAR(G385)</f>
        <v>2023</v>
      </c>
      <c r="C385" s="4">
        <f>MONTH(G385)</f>
        <v>8</v>
      </c>
      <c r="D385" s="4">
        <f>DAY(G385)</f>
        <v>13</v>
      </c>
      <c r="E385" s="4" t="str">
        <f>TEXT(G385, "mmmm")</f>
        <v>August</v>
      </c>
      <c r="F385" s="4" t="str">
        <f>TEXT(G385, "dddd")</f>
        <v>Sunday</v>
      </c>
      <c r="G385" s="3">
        <v>45151</v>
      </c>
      <c r="H385" s="4" t="s">
        <v>411</v>
      </c>
      <c r="I385" s="4" t="s">
        <v>16</v>
      </c>
      <c r="J385" s="4">
        <v>55</v>
      </c>
      <c r="K385" s="4" t="str" cm="1">
        <f t="array" ref="K385">_xlfn.IFS(J385&lt;30, "Young Adult", J385&lt;50, "Adult", J385&gt;=50, "Senior")</f>
        <v>Senior</v>
      </c>
      <c r="L385" s="4" t="s">
        <v>21</v>
      </c>
      <c r="M385" s="4">
        <v>1</v>
      </c>
      <c r="N385" s="5">
        <v>500</v>
      </c>
      <c r="O385">
        <f>M385*N385</f>
        <v>500</v>
      </c>
      <c r="P385" s="14">
        <f>O385*$S$3</f>
        <v>7.5</v>
      </c>
    </row>
    <row r="386" spans="1:16">
      <c r="A386" s="2">
        <v>385</v>
      </c>
      <c r="B386" s="4">
        <f>YEAR(G386)</f>
        <v>2023</v>
      </c>
      <c r="C386" s="4">
        <f>MONTH(G386)</f>
        <v>10</v>
      </c>
      <c r="D386" s="4">
        <f>DAY(G386)</f>
        <v>6</v>
      </c>
      <c r="E386" s="4" t="str">
        <f>TEXT(G386, "mmmm")</f>
        <v>October</v>
      </c>
      <c r="F386" s="4" t="str">
        <f>TEXT(G386, "dddd")</f>
        <v>Friday</v>
      </c>
      <c r="G386" s="3">
        <v>45205</v>
      </c>
      <c r="H386" s="4" t="s">
        <v>412</v>
      </c>
      <c r="I386" s="4" t="s">
        <v>16</v>
      </c>
      <c r="J386" s="4">
        <v>50</v>
      </c>
      <c r="K386" s="4" t="str" cm="1">
        <f t="array" ref="K386">_xlfn.IFS(J386&lt;30, "Young Adult", J386&lt;50, "Adult", J386&gt;=50, "Senior")</f>
        <v>Senior</v>
      </c>
      <c r="L386" s="4" t="s">
        <v>24</v>
      </c>
      <c r="M386" s="4">
        <v>3</v>
      </c>
      <c r="N386" s="5">
        <v>500</v>
      </c>
      <c r="O386">
        <f>M386*N386</f>
        <v>1500</v>
      </c>
      <c r="P386" s="14">
        <f>O386*$S$3</f>
        <v>22.5</v>
      </c>
    </row>
    <row r="387" spans="1:16">
      <c r="A387" s="2">
        <v>386</v>
      </c>
      <c r="B387" s="4">
        <f>YEAR(G387)</f>
        <v>2023</v>
      </c>
      <c r="C387" s="4">
        <f>MONTH(G387)</f>
        <v>12</v>
      </c>
      <c r="D387" s="4">
        <f>DAY(G387)</f>
        <v>27</v>
      </c>
      <c r="E387" s="4" t="str">
        <f>TEXT(G387, "mmmm")</f>
        <v>December</v>
      </c>
      <c r="F387" s="4" t="str">
        <f>TEXT(G387, "dddd")</f>
        <v>Wednesday</v>
      </c>
      <c r="G387" s="3">
        <v>45287</v>
      </c>
      <c r="H387" s="4" t="s">
        <v>413</v>
      </c>
      <c r="I387" s="4" t="s">
        <v>20</v>
      </c>
      <c r="J387" s="4">
        <v>54</v>
      </c>
      <c r="K387" s="4" t="str" cm="1">
        <f t="array" ref="K387">_xlfn.IFS(J387&lt;30, "Young Adult", J387&lt;50, "Adult", J387&gt;=50, "Senior")</f>
        <v>Senior</v>
      </c>
      <c r="L387" s="4" t="s">
        <v>24</v>
      </c>
      <c r="M387" s="4">
        <v>2</v>
      </c>
      <c r="N387" s="5">
        <v>300</v>
      </c>
      <c r="O387">
        <f>M387*N387</f>
        <v>600</v>
      </c>
      <c r="P387" s="14">
        <f>O387*$S$3</f>
        <v>9</v>
      </c>
    </row>
    <row r="388" spans="1:16">
      <c r="A388" s="2">
        <v>387</v>
      </c>
      <c r="B388" s="4">
        <f>YEAR(G388)</f>
        <v>2023</v>
      </c>
      <c r="C388" s="4">
        <f>MONTH(G388)</f>
        <v>6</v>
      </c>
      <c r="D388" s="4">
        <f>DAY(G388)</f>
        <v>4</v>
      </c>
      <c r="E388" s="4" t="str">
        <f>TEXT(G388, "mmmm")</f>
        <v>June</v>
      </c>
      <c r="F388" s="4" t="str">
        <f>TEXT(G388, "dddd")</f>
        <v>Sunday</v>
      </c>
      <c r="G388" s="3">
        <v>45081</v>
      </c>
      <c r="H388" s="4" t="s">
        <v>414</v>
      </c>
      <c r="I388" s="4" t="s">
        <v>16</v>
      </c>
      <c r="J388" s="4">
        <v>44</v>
      </c>
      <c r="K388" s="4" t="str" cm="1">
        <f t="array" ref="K388">_xlfn.IFS(J388&lt;30, "Young Adult", J388&lt;50, "Adult", J388&gt;=50, "Senior")</f>
        <v>Adult</v>
      </c>
      <c r="L388" s="4" t="s">
        <v>17</v>
      </c>
      <c r="M388" s="4">
        <v>1</v>
      </c>
      <c r="N388" s="5">
        <v>30</v>
      </c>
      <c r="O388">
        <f>M388*N388</f>
        <v>30</v>
      </c>
      <c r="P388" s="14">
        <f>O388*$S$3</f>
        <v>0.44999999999999996</v>
      </c>
    </row>
    <row r="389" spans="1:16">
      <c r="A389" s="2">
        <v>388</v>
      </c>
      <c r="B389" s="4">
        <f>YEAR(G389)</f>
        <v>2023</v>
      </c>
      <c r="C389" s="4">
        <f>MONTH(G389)</f>
        <v>11</v>
      </c>
      <c r="D389" s="4">
        <f>DAY(G389)</f>
        <v>10</v>
      </c>
      <c r="E389" s="4" t="str">
        <f>TEXT(G389, "mmmm")</f>
        <v>November</v>
      </c>
      <c r="F389" s="4" t="str">
        <f>TEXT(G389, "dddd")</f>
        <v>Friday</v>
      </c>
      <c r="G389" s="3">
        <v>45240</v>
      </c>
      <c r="H389" s="4" t="s">
        <v>415</v>
      </c>
      <c r="I389" s="4" t="s">
        <v>16</v>
      </c>
      <c r="J389" s="4">
        <v>50</v>
      </c>
      <c r="K389" s="4" t="str" cm="1">
        <f t="array" ref="K389">_xlfn.IFS(J389&lt;30, "Young Adult", J389&lt;50, "Adult", J389&gt;=50, "Senior")</f>
        <v>Senior</v>
      </c>
      <c r="L389" s="4" t="s">
        <v>24</v>
      </c>
      <c r="M389" s="4">
        <v>1</v>
      </c>
      <c r="N389" s="5">
        <v>25</v>
      </c>
      <c r="O389">
        <f>M389*N389</f>
        <v>25</v>
      </c>
      <c r="P389" s="14">
        <f>O389*$S$3</f>
        <v>0.375</v>
      </c>
    </row>
    <row r="390" spans="1:16">
      <c r="A390" s="2">
        <v>389</v>
      </c>
      <c r="B390" s="4">
        <f>YEAR(G390)</f>
        <v>2023</v>
      </c>
      <c r="C390" s="4">
        <f>MONTH(G390)</f>
        <v>12</v>
      </c>
      <c r="D390" s="4">
        <f>DAY(G390)</f>
        <v>1</v>
      </c>
      <c r="E390" s="4" t="str">
        <f>TEXT(G390, "mmmm")</f>
        <v>December</v>
      </c>
      <c r="F390" s="4" t="str">
        <f>TEXT(G390, "dddd")</f>
        <v>Friday</v>
      </c>
      <c r="G390" s="3">
        <v>45261</v>
      </c>
      <c r="H390" s="4" t="s">
        <v>416</v>
      </c>
      <c r="I390" s="4" t="s">
        <v>16</v>
      </c>
      <c r="J390" s="4">
        <v>21</v>
      </c>
      <c r="K390" s="4" t="str" cm="1">
        <f t="array" ref="K390">_xlfn.IFS(J390&lt;30, "Young Adult", J390&lt;50, "Adult", J390&gt;=50, "Senior")</f>
        <v>Young Adult</v>
      </c>
      <c r="L390" s="4" t="s">
        <v>21</v>
      </c>
      <c r="M390" s="4">
        <v>2</v>
      </c>
      <c r="N390" s="5">
        <v>25</v>
      </c>
      <c r="O390">
        <f>M390*N390</f>
        <v>50</v>
      </c>
      <c r="P390" s="14">
        <f>O390*$S$3</f>
        <v>0.75</v>
      </c>
    </row>
    <row r="391" spans="1:16">
      <c r="A391" s="2">
        <v>390</v>
      </c>
      <c r="B391" s="4">
        <f>YEAR(G391)</f>
        <v>2023</v>
      </c>
      <c r="C391" s="4">
        <f>MONTH(G391)</f>
        <v>9</v>
      </c>
      <c r="D391" s="4">
        <f>DAY(G391)</f>
        <v>28</v>
      </c>
      <c r="E391" s="4" t="str">
        <f>TEXT(G391, "mmmm")</f>
        <v>September</v>
      </c>
      <c r="F391" s="4" t="str">
        <f>TEXT(G391, "dddd")</f>
        <v>Thursday</v>
      </c>
      <c r="G391" s="3">
        <v>45197</v>
      </c>
      <c r="H391" s="4" t="s">
        <v>417</v>
      </c>
      <c r="I391" s="4" t="s">
        <v>16</v>
      </c>
      <c r="J391" s="4">
        <v>39</v>
      </c>
      <c r="K391" s="4" t="str" cm="1">
        <f t="array" ref="K391">_xlfn.IFS(J391&lt;30, "Young Adult", J391&lt;50, "Adult", J391&gt;=50, "Senior")</f>
        <v>Adult</v>
      </c>
      <c r="L391" s="4" t="s">
        <v>24</v>
      </c>
      <c r="M391" s="4">
        <v>2</v>
      </c>
      <c r="N391" s="5">
        <v>50</v>
      </c>
      <c r="O391">
        <f>M391*N391</f>
        <v>100</v>
      </c>
      <c r="P391" s="14">
        <f>O391*$S$3</f>
        <v>1.5</v>
      </c>
    </row>
    <row r="392" spans="1:16">
      <c r="A392" s="2">
        <v>391</v>
      </c>
      <c r="B392" s="4">
        <f>YEAR(G392)</f>
        <v>2023</v>
      </c>
      <c r="C392" s="4">
        <f>MONTH(G392)</f>
        <v>1</v>
      </c>
      <c r="D392" s="4">
        <f>DAY(G392)</f>
        <v>5</v>
      </c>
      <c r="E392" s="4" t="str">
        <f>TEXT(G392, "mmmm")</f>
        <v>January</v>
      </c>
      <c r="F392" s="4" t="str">
        <f>TEXT(G392, "dddd")</f>
        <v>Thursday</v>
      </c>
      <c r="G392" s="3">
        <v>44931</v>
      </c>
      <c r="H392" s="4" t="s">
        <v>418</v>
      </c>
      <c r="I392" s="4" t="s">
        <v>16</v>
      </c>
      <c r="J392" s="4">
        <v>19</v>
      </c>
      <c r="K392" s="4" t="str" cm="1">
        <f t="array" ref="K392">_xlfn.IFS(J392&lt;30, "Young Adult", J392&lt;50, "Adult", J392&gt;=50, "Senior")</f>
        <v>Young Adult</v>
      </c>
      <c r="L392" s="4" t="s">
        <v>17</v>
      </c>
      <c r="M392" s="4">
        <v>2</v>
      </c>
      <c r="N392" s="5">
        <v>25</v>
      </c>
      <c r="O392">
        <f>M392*N392</f>
        <v>50</v>
      </c>
      <c r="P392" s="14">
        <f>O392*$S$3</f>
        <v>0.75</v>
      </c>
    </row>
    <row r="393" spans="1:16">
      <c r="A393" s="2">
        <v>392</v>
      </c>
      <c r="B393" s="4">
        <f>YEAR(G393)</f>
        <v>2023</v>
      </c>
      <c r="C393" s="4">
        <f>MONTH(G393)</f>
        <v>12</v>
      </c>
      <c r="D393" s="4">
        <f>DAY(G393)</f>
        <v>8</v>
      </c>
      <c r="E393" s="4" t="str">
        <f>TEXT(G393, "mmmm")</f>
        <v>December</v>
      </c>
      <c r="F393" s="4" t="str">
        <f>TEXT(G393, "dddd")</f>
        <v>Friday</v>
      </c>
      <c r="G393" s="3">
        <v>45268</v>
      </c>
      <c r="H393" s="4" t="s">
        <v>419</v>
      </c>
      <c r="I393" s="4" t="s">
        <v>16</v>
      </c>
      <c r="J393" s="4">
        <v>27</v>
      </c>
      <c r="K393" s="4" t="str" cm="1">
        <f t="array" ref="K393">_xlfn.IFS(J393&lt;30, "Young Adult", J393&lt;50, "Adult", J393&gt;=50, "Senior")</f>
        <v>Young Adult</v>
      </c>
      <c r="L393" s="4" t="s">
        <v>21</v>
      </c>
      <c r="M393" s="4">
        <v>2</v>
      </c>
      <c r="N393" s="5">
        <v>300</v>
      </c>
      <c r="O393">
        <f>M393*N393</f>
        <v>600</v>
      </c>
      <c r="P393" s="14">
        <f>O393*$S$3</f>
        <v>9</v>
      </c>
    </row>
    <row r="394" spans="1:16">
      <c r="A394" s="2">
        <v>393</v>
      </c>
      <c r="B394" s="4">
        <f>YEAR(G394)</f>
        <v>2023</v>
      </c>
      <c r="C394" s="4">
        <f>MONTH(G394)</f>
        <v>10</v>
      </c>
      <c r="D394" s="4">
        <f>DAY(G394)</f>
        <v>11</v>
      </c>
      <c r="E394" s="4" t="str">
        <f>TEXT(G394, "mmmm")</f>
        <v>October</v>
      </c>
      <c r="F394" s="4" t="str">
        <f>TEXT(G394, "dddd")</f>
        <v>Wednesday</v>
      </c>
      <c r="G394" s="3">
        <v>45210</v>
      </c>
      <c r="H394" s="4" t="s">
        <v>420</v>
      </c>
      <c r="I394" s="4" t="s">
        <v>20</v>
      </c>
      <c r="J394" s="4">
        <v>22</v>
      </c>
      <c r="K394" s="4" t="str" cm="1">
        <f t="array" ref="K394">_xlfn.IFS(J394&lt;30, "Young Adult", J394&lt;50, "Adult", J394&gt;=50, "Senior")</f>
        <v>Young Adult</v>
      </c>
      <c r="L394" s="4" t="s">
        <v>17</v>
      </c>
      <c r="M394" s="4">
        <v>2</v>
      </c>
      <c r="N394" s="5">
        <v>500</v>
      </c>
      <c r="O394">
        <f>M394*N394</f>
        <v>1000</v>
      </c>
      <c r="P394" s="14">
        <f>O394*$S$3</f>
        <v>15</v>
      </c>
    </row>
    <row r="395" spans="1:16">
      <c r="A395" s="2">
        <v>394</v>
      </c>
      <c r="B395" s="4">
        <f>YEAR(G395)</f>
        <v>2023</v>
      </c>
      <c r="C395" s="4">
        <f>MONTH(G395)</f>
        <v>6</v>
      </c>
      <c r="D395" s="4">
        <f>DAY(G395)</f>
        <v>3</v>
      </c>
      <c r="E395" s="4" t="str">
        <f>TEXT(G395, "mmmm")</f>
        <v>June</v>
      </c>
      <c r="F395" s="4" t="str">
        <f>TEXT(G395, "dddd")</f>
        <v>Saturday</v>
      </c>
      <c r="G395" s="3">
        <v>45080</v>
      </c>
      <c r="H395" s="4" t="s">
        <v>421</v>
      </c>
      <c r="I395" s="4" t="s">
        <v>20</v>
      </c>
      <c r="J395" s="4">
        <v>27</v>
      </c>
      <c r="K395" s="4" t="str" cm="1">
        <f t="array" ref="K395">_xlfn.IFS(J395&lt;30, "Young Adult", J395&lt;50, "Adult", J395&gt;=50, "Senior")</f>
        <v>Young Adult</v>
      </c>
      <c r="L395" s="4" t="s">
        <v>21</v>
      </c>
      <c r="M395" s="4">
        <v>1</v>
      </c>
      <c r="N395" s="5">
        <v>500</v>
      </c>
      <c r="O395">
        <f>M395*N395</f>
        <v>500</v>
      </c>
      <c r="P395" s="14">
        <f>O395*$S$3</f>
        <v>7.5</v>
      </c>
    </row>
    <row r="396" spans="1:16">
      <c r="A396" s="2">
        <v>395</v>
      </c>
      <c r="B396" s="4">
        <f>YEAR(G396)</f>
        <v>2023</v>
      </c>
      <c r="C396" s="4">
        <f>MONTH(G396)</f>
        <v>12</v>
      </c>
      <c r="D396" s="4">
        <f>DAY(G396)</f>
        <v>6</v>
      </c>
      <c r="E396" s="4" t="str">
        <f>TEXT(G396, "mmmm")</f>
        <v>December</v>
      </c>
      <c r="F396" s="4" t="str">
        <f>TEXT(G396, "dddd")</f>
        <v>Wednesday</v>
      </c>
      <c r="G396" s="3">
        <v>45266</v>
      </c>
      <c r="H396" s="4" t="s">
        <v>422</v>
      </c>
      <c r="I396" s="4" t="s">
        <v>16</v>
      </c>
      <c r="J396" s="4">
        <v>50</v>
      </c>
      <c r="K396" s="4" t="str" cm="1">
        <f t="array" ref="K396">_xlfn.IFS(J396&lt;30, "Young Adult", J396&lt;50, "Adult", J396&gt;=50, "Senior")</f>
        <v>Senior</v>
      </c>
      <c r="L396" s="4" t="s">
        <v>24</v>
      </c>
      <c r="M396" s="4">
        <v>2</v>
      </c>
      <c r="N396" s="5">
        <v>500</v>
      </c>
      <c r="O396">
        <f>M396*N396</f>
        <v>1000</v>
      </c>
      <c r="P396" s="14">
        <f>O396*$S$3</f>
        <v>15</v>
      </c>
    </row>
    <row r="397" spans="1:16">
      <c r="A397" s="2">
        <v>396</v>
      </c>
      <c r="B397" s="4">
        <f>YEAR(G397)</f>
        <v>2023</v>
      </c>
      <c r="C397" s="4">
        <f>MONTH(G397)</f>
        <v>2</v>
      </c>
      <c r="D397" s="4">
        <f>DAY(G397)</f>
        <v>23</v>
      </c>
      <c r="E397" s="4" t="str">
        <f>TEXT(G397, "mmmm")</f>
        <v>February</v>
      </c>
      <c r="F397" s="4" t="str">
        <f>TEXT(G397, "dddd")</f>
        <v>Thursday</v>
      </c>
      <c r="G397" s="3">
        <v>44980</v>
      </c>
      <c r="H397" s="4" t="s">
        <v>423</v>
      </c>
      <c r="I397" s="4" t="s">
        <v>20</v>
      </c>
      <c r="J397" s="4">
        <v>55</v>
      </c>
      <c r="K397" s="4" t="str" cm="1">
        <f t="array" ref="K397">_xlfn.IFS(J397&lt;30, "Young Adult", J397&lt;50, "Adult", J397&gt;=50, "Senior")</f>
        <v>Senior</v>
      </c>
      <c r="L397" s="4" t="s">
        <v>17</v>
      </c>
      <c r="M397" s="4">
        <v>1</v>
      </c>
      <c r="N397" s="5">
        <v>30</v>
      </c>
      <c r="O397">
        <f>M397*N397</f>
        <v>30</v>
      </c>
      <c r="P397" s="14">
        <f>O397*$S$3</f>
        <v>0.44999999999999996</v>
      </c>
    </row>
    <row r="398" spans="1:16">
      <c r="A398" s="2">
        <v>397</v>
      </c>
      <c r="B398" s="4">
        <f>YEAR(G398)</f>
        <v>2023</v>
      </c>
      <c r="C398" s="4">
        <f>MONTH(G398)</f>
        <v>3</v>
      </c>
      <c r="D398" s="4">
        <f>DAY(G398)</f>
        <v>10</v>
      </c>
      <c r="E398" s="4" t="str">
        <f>TEXT(G398, "mmmm")</f>
        <v>March</v>
      </c>
      <c r="F398" s="4" t="str">
        <f>TEXT(G398, "dddd")</f>
        <v>Friday</v>
      </c>
      <c r="G398" s="3">
        <v>44995</v>
      </c>
      <c r="H398" s="4" t="s">
        <v>424</v>
      </c>
      <c r="I398" s="4" t="s">
        <v>20</v>
      </c>
      <c r="J398" s="4">
        <v>30</v>
      </c>
      <c r="K398" s="4" t="str" cm="1">
        <f t="array" ref="K398">_xlfn.IFS(J398&lt;30, "Young Adult", J398&lt;50, "Adult", J398&gt;=50, "Senior")</f>
        <v>Adult</v>
      </c>
      <c r="L398" s="4" t="s">
        <v>17</v>
      </c>
      <c r="M398" s="4">
        <v>1</v>
      </c>
      <c r="N398" s="5">
        <v>25</v>
      </c>
      <c r="O398">
        <f>M398*N398</f>
        <v>25</v>
      </c>
      <c r="P398" s="14">
        <f>O398*$S$3</f>
        <v>0.375</v>
      </c>
    </row>
    <row r="399" spans="1:16">
      <c r="A399" s="2">
        <v>398</v>
      </c>
      <c r="B399" s="4">
        <f>YEAR(G399)</f>
        <v>2023</v>
      </c>
      <c r="C399" s="4">
        <f>MONTH(G399)</f>
        <v>5</v>
      </c>
      <c r="D399" s="4">
        <f>DAY(G399)</f>
        <v>16</v>
      </c>
      <c r="E399" s="4" t="str">
        <f>TEXT(G399, "mmmm")</f>
        <v>May</v>
      </c>
      <c r="F399" s="4" t="str">
        <f>TEXT(G399, "dddd")</f>
        <v>Tuesday</v>
      </c>
      <c r="G399" s="3">
        <v>45062</v>
      </c>
      <c r="H399" s="4" t="s">
        <v>425</v>
      </c>
      <c r="I399" s="4" t="s">
        <v>20</v>
      </c>
      <c r="J399" s="4">
        <v>48</v>
      </c>
      <c r="K399" s="4" t="str" cm="1">
        <f t="array" ref="K399">_xlfn.IFS(J399&lt;30, "Young Adult", J399&lt;50, "Adult", J399&gt;=50, "Senior")</f>
        <v>Adult</v>
      </c>
      <c r="L399" s="4" t="s">
        <v>21</v>
      </c>
      <c r="M399" s="4">
        <v>2</v>
      </c>
      <c r="N399" s="5">
        <v>300</v>
      </c>
      <c r="O399">
        <f>M399*N399</f>
        <v>600</v>
      </c>
      <c r="P399" s="14">
        <f>O399*$S$3</f>
        <v>9</v>
      </c>
    </row>
    <row r="400" spans="1:16">
      <c r="A400" s="2">
        <v>399</v>
      </c>
      <c r="B400" s="4">
        <f>YEAR(G400)</f>
        <v>2023</v>
      </c>
      <c r="C400" s="4">
        <f>MONTH(G400)</f>
        <v>3</v>
      </c>
      <c r="D400" s="4">
        <f>DAY(G400)</f>
        <v>1</v>
      </c>
      <c r="E400" s="4" t="str">
        <f>TEXT(G400, "mmmm")</f>
        <v>March</v>
      </c>
      <c r="F400" s="4" t="str">
        <f>TEXT(G400, "dddd")</f>
        <v>Wednesday</v>
      </c>
      <c r="G400" s="3">
        <v>44986</v>
      </c>
      <c r="H400" s="4" t="s">
        <v>426</v>
      </c>
      <c r="I400" s="4" t="s">
        <v>20</v>
      </c>
      <c r="J400" s="4">
        <v>64</v>
      </c>
      <c r="K400" s="4" t="str" cm="1">
        <f t="array" ref="K400">_xlfn.IFS(J400&lt;30, "Young Adult", J400&lt;50, "Adult", J400&gt;=50, "Senior")</f>
        <v>Senior</v>
      </c>
      <c r="L400" s="4" t="s">
        <v>17</v>
      </c>
      <c r="M400" s="4">
        <v>2</v>
      </c>
      <c r="N400" s="5">
        <v>30</v>
      </c>
      <c r="O400">
        <f>M400*N400</f>
        <v>60</v>
      </c>
      <c r="P400" s="14">
        <f>O400*$S$3</f>
        <v>0.89999999999999991</v>
      </c>
    </row>
    <row r="401" spans="1:16">
      <c r="A401" s="2">
        <v>400</v>
      </c>
      <c r="B401" s="4">
        <f>YEAR(G401)</f>
        <v>2023</v>
      </c>
      <c r="C401" s="4">
        <f>MONTH(G401)</f>
        <v>2</v>
      </c>
      <c r="D401" s="4">
        <f>DAY(G401)</f>
        <v>24</v>
      </c>
      <c r="E401" s="4" t="str">
        <f>TEXT(G401, "mmmm")</f>
        <v>February</v>
      </c>
      <c r="F401" s="4" t="str">
        <f>TEXT(G401, "dddd")</f>
        <v>Friday</v>
      </c>
      <c r="G401" s="3">
        <v>44981</v>
      </c>
      <c r="H401" s="4" t="s">
        <v>427</v>
      </c>
      <c r="I401" s="4" t="s">
        <v>16</v>
      </c>
      <c r="J401" s="4">
        <v>53</v>
      </c>
      <c r="K401" s="4" t="str" cm="1">
        <f t="array" ref="K401">_xlfn.IFS(J401&lt;30, "Young Adult", J401&lt;50, "Adult", J401&gt;=50, "Senior")</f>
        <v>Senior</v>
      </c>
      <c r="L401" s="4" t="s">
        <v>21</v>
      </c>
      <c r="M401" s="4">
        <v>4</v>
      </c>
      <c r="N401" s="5">
        <v>50</v>
      </c>
      <c r="O401">
        <f>M401*N401</f>
        <v>200</v>
      </c>
      <c r="P401" s="14">
        <f>O401*$S$3</f>
        <v>3</v>
      </c>
    </row>
    <row r="402" spans="1:16">
      <c r="A402" s="2">
        <v>401</v>
      </c>
      <c r="B402" s="4">
        <f>YEAR(G402)</f>
        <v>2023</v>
      </c>
      <c r="C402" s="4">
        <f>MONTH(G402)</f>
        <v>10</v>
      </c>
      <c r="D402" s="4">
        <f>DAY(G402)</f>
        <v>11</v>
      </c>
      <c r="E402" s="4" t="str">
        <f>TEXT(G402, "mmmm")</f>
        <v>October</v>
      </c>
      <c r="F402" s="4" t="str">
        <f>TEXT(G402, "dddd")</f>
        <v>Wednesday</v>
      </c>
      <c r="G402" s="3">
        <v>45210</v>
      </c>
      <c r="H402" s="4" t="s">
        <v>428</v>
      </c>
      <c r="I402" s="4" t="s">
        <v>20</v>
      </c>
      <c r="J402" s="4">
        <v>62</v>
      </c>
      <c r="K402" s="4" t="str" cm="1">
        <f t="array" ref="K402">_xlfn.IFS(J402&lt;30, "Young Adult", J402&lt;50, "Adult", J402&gt;=50, "Senior")</f>
        <v>Senior</v>
      </c>
      <c r="L402" s="4" t="s">
        <v>21</v>
      </c>
      <c r="M402" s="4">
        <v>1</v>
      </c>
      <c r="N402" s="5">
        <v>300</v>
      </c>
      <c r="O402">
        <f>M402*N402</f>
        <v>300</v>
      </c>
      <c r="P402" s="14">
        <f>O402*$S$3</f>
        <v>4.5</v>
      </c>
    </row>
    <row r="403" spans="1:16">
      <c r="A403" s="2">
        <v>402</v>
      </c>
      <c r="B403" s="4">
        <f>YEAR(G403)</f>
        <v>2023</v>
      </c>
      <c r="C403" s="4">
        <f>MONTH(G403)</f>
        <v>3</v>
      </c>
      <c r="D403" s="4">
        <f>DAY(G403)</f>
        <v>21</v>
      </c>
      <c r="E403" s="4" t="str">
        <f>TEXT(G403, "mmmm")</f>
        <v>March</v>
      </c>
      <c r="F403" s="4" t="str">
        <f>TEXT(G403, "dddd")</f>
        <v>Tuesday</v>
      </c>
      <c r="G403" s="3">
        <v>45006</v>
      </c>
      <c r="H403" s="4" t="s">
        <v>429</v>
      </c>
      <c r="I403" s="4" t="s">
        <v>20</v>
      </c>
      <c r="J403" s="4">
        <v>41</v>
      </c>
      <c r="K403" s="4" t="str" cm="1">
        <f t="array" ref="K403">_xlfn.IFS(J403&lt;30, "Young Adult", J403&lt;50, "Adult", J403&gt;=50, "Senior")</f>
        <v>Adult</v>
      </c>
      <c r="L403" s="4" t="s">
        <v>21</v>
      </c>
      <c r="M403" s="4">
        <v>2</v>
      </c>
      <c r="N403" s="5">
        <v>300</v>
      </c>
      <c r="O403">
        <f>M403*N403</f>
        <v>600</v>
      </c>
      <c r="P403" s="14">
        <f>O403*$S$3</f>
        <v>9</v>
      </c>
    </row>
    <row r="404" spans="1:16">
      <c r="A404" s="2">
        <v>403</v>
      </c>
      <c r="B404" s="4">
        <f>YEAR(G404)</f>
        <v>2023</v>
      </c>
      <c r="C404" s="4">
        <f>MONTH(G404)</f>
        <v>5</v>
      </c>
      <c r="D404" s="4">
        <f>DAY(G404)</f>
        <v>20</v>
      </c>
      <c r="E404" s="4" t="str">
        <f>TEXT(G404, "mmmm")</f>
        <v>May</v>
      </c>
      <c r="F404" s="4" t="str">
        <f>TEXT(G404, "dddd")</f>
        <v>Saturday</v>
      </c>
      <c r="G404" s="3">
        <v>45066</v>
      </c>
      <c r="H404" s="4" t="s">
        <v>430</v>
      </c>
      <c r="I404" s="4" t="s">
        <v>16</v>
      </c>
      <c r="J404" s="4">
        <v>32</v>
      </c>
      <c r="K404" s="4" t="str" cm="1">
        <f t="array" ref="K404">_xlfn.IFS(J404&lt;30, "Young Adult", J404&lt;50, "Adult", J404&gt;=50, "Senior")</f>
        <v>Adult</v>
      </c>
      <c r="L404" s="4" t="s">
        <v>21</v>
      </c>
      <c r="M404" s="4">
        <v>2</v>
      </c>
      <c r="N404" s="5">
        <v>300</v>
      </c>
      <c r="O404">
        <f>M404*N404</f>
        <v>600</v>
      </c>
      <c r="P404" s="14">
        <f>O404*$S$3</f>
        <v>9</v>
      </c>
    </row>
    <row r="405" spans="1:16">
      <c r="A405" s="2">
        <v>404</v>
      </c>
      <c r="B405" s="4">
        <f>YEAR(G405)</f>
        <v>2023</v>
      </c>
      <c r="C405" s="4">
        <f>MONTH(G405)</f>
        <v>5</v>
      </c>
      <c r="D405" s="4">
        <f>DAY(G405)</f>
        <v>25</v>
      </c>
      <c r="E405" s="4" t="str">
        <f>TEXT(G405, "mmmm")</f>
        <v>May</v>
      </c>
      <c r="F405" s="4" t="str">
        <f>TEXT(G405, "dddd")</f>
        <v>Thursday</v>
      </c>
      <c r="G405" s="3">
        <v>45071</v>
      </c>
      <c r="H405" s="4" t="s">
        <v>431</v>
      </c>
      <c r="I405" s="4" t="s">
        <v>16</v>
      </c>
      <c r="J405" s="4">
        <v>46</v>
      </c>
      <c r="K405" s="4" t="str" cm="1">
        <f t="array" ref="K405">_xlfn.IFS(J405&lt;30, "Young Adult", J405&lt;50, "Adult", J405&gt;=50, "Senior")</f>
        <v>Adult</v>
      </c>
      <c r="L405" s="4" t="s">
        <v>24</v>
      </c>
      <c r="M405" s="4">
        <v>2</v>
      </c>
      <c r="N405" s="5">
        <v>500</v>
      </c>
      <c r="O405">
        <f>M405*N405</f>
        <v>1000</v>
      </c>
      <c r="P405" s="14">
        <f>O405*$S$3</f>
        <v>15</v>
      </c>
    </row>
    <row r="406" spans="1:16">
      <c r="A406" s="2">
        <v>405</v>
      </c>
      <c r="B406" s="4">
        <f>YEAR(G406)</f>
        <v>2023</v>
      </c>
      <c r="C406" s="4">
        <f>MONTH(G406)</f>
        <v>11</v>
      </c>
      <c r="D406" s="4">
        <f>DAY(G406)</f>
        <v>6</v>
      </c>
      <c r="E406" s="4" t="str">
        <f>TEXT(G406, "mmmm")</f>
        <v>November</v>
      </c>
      <c r="F406" s="4" t="str">
        <f>TEXT(G406, "dddd")</f>
        <v>Monday</v>
      </c>
      <c r="G406" s="3">
        <v>45236</v>
      </c>
      <c r="H406" s="4" t="s">
        <v>432</v>
      </c>
      <c r="I406" s="4" t="s">
        <v>20</v>
      </c>
      <c r="J406" s="4">
        <v>25</v>
      </c>
      <c r="K406" s="4" t="str" cm="1">
        <f t="array" ref="K406">_xlfn.IFS(J406&lt;30, "Young Adult", J406&lt;50, "Adult", J406&gt;=50, "Senior")</f>
        <v>Young Adult</v>
      </c>
      <c r="L406" s="4" t="s">
        <v>21</v>
      </c>
      <c r="M406" s="4">
        <v>4</v>
      </c>
      <c r="N406" s="5">
        <v>300</v>
      </c>
      <c r="O406">
        <f>M406*N406</f>
        <v>1200</v>
      </c>
      <c r="P406" s="14">
        <f>O406*$S$3</f>
        <v>18</v>
      </c>
    </row>
    <row r="407" spans="1:16">
      <c r="A407" s="2">
        <v>406</v>
      </c>
      <c r="B407" s="4">
        <f>YEAR(G407)</f>
        <v>2023</v>
      </c>
      <c r="C407" s="4">
        <f>MONTH(G407)</f>
        <v>4</v>
      </c>
      <c r="D407" s="4">
        <f>DAY(G407)</f>
        <v>18</v>
      </c>
      <c r="E407" s="4" t="str">
        <f>TEXT(G407, "mmmm")</f>
        <v>April</v>
      </c>
      <c r="F407" s="4" t="str">
        <f>TEXT(G407, "dddd")</f>
        <v>Tuesday</v>
      </c>
      <c r="G407" s="3">
        <v>45034</v>
      </c>
      <c r="H407" s="4" t="s">
        <v>433</v>
      </c>
      <c r="I407" s="4" t="s">
        <v>20</v>
      </c>
      <c r="J407" s="4">
        <v>22</v>
      </c>
      <c r="K407" s="4" t="str" cm="1">
        <f t="array" ref="K407">_xlfn.IFS(J407&lt;30, "Young Adult", J407&lt;50, "Adult", J407&gt;=50, "Senior")</f>
        <v>Young Adult</v>
      </c>
      <c r="L407" s="4" t="s">
        <v>17</v>
      </c>
      <c r="M407" s="4">
        <v>4</v>
      </c>
      <c r="N407" s="5">
        <v>25</v>
      </c>
      <c r="O407">
        <f>M407*N407</f>
        <v>100</v>
      </c>
      <c r="P407" s="14">
        <f>O407*$S$3</f>
        <v>1.5</v>
      </c>
    </row>
    <row r="408" spans="1:16">
      <c r="A408" s="2">
        <v>407</v>
      </c>
      <c r="B408" s="4">
        <f>YEAR(G408)</f>
        <v>2023</v>
      </c>
      <c r="C408" s="4">
        <f>MONTH(G408)</f>
        <v>6</v>
      </c>
      <c r="D408" s="4">
        <f>DAY(G408)</f>
        <v>25</v>
      </c>
      <c r="E408" s="4" t="str">
        <f>TEXT(G408, "mmmm")</f>
        <v>June</v>
      </c>
      <c r="F408" s="4" t="str">
        <f>TEXT(G408, "dddd")</f>
        <v>Sunday</v>
      </c>
      <c r="G408" s="3">
        <v>45102</v>
      </c>
      <c r="H408" s="4" t="s">
        <v>434</v>
      </c>
      <c r="I408" s="4" t="s">
        <v>20</v>
      </c>
      <c r="J408" s="4">
        <v>46</v>
      </c>
      <c r="K408" s="4" t="str" cm="1">
        <f t="array" ref="K408">_xlfn.IFS(J408&lt;30, "Young Adult", J408&lt;50, "Adult", J408&gt;=50, "Senior")</f>
        <v>Adult</v>
      </c>
      <c r="L408" s="4" t="s">
        <v>24</v>
      </c>
      <c r="M408" s="4">
        <v>3</v>
      </c>
      <c r="N408" s="5">
        <v>300</v>
      </c>
      <c r="O408">
        <f>M408*N408</f>
        <v>900</v>
      </c>
      <c r="P408" s="14">
        <f>O408*$S$3</f>
        <v>13.5</v>
      </c>
    </row>
    <row r="409" spans="1:16">
      <c r="A409" s="2">
        <v>408</v>
      </c>
      <c r="B409" s="4">
        <f>YEAR(G409)</f>
        <v>2023</v>
      </c>
      <c r="C409" s="4">
        <f>MONTH(G409)</f>
        <v>4</v>
      </c>
      <c r="D409" s="4">
        <f>DAY(G409)</f>
        <v>15</v>
      </c>
      <c r="E409" s="4" t="str">
        <f>TEXT(G409, "mmmm")</f>
        <v>April</v>
      </c>
      <c r="F409" s="4" t="str">
        <f>TEXT(G409, "dddd")</f>
        <v>Saturday</v>
      </c>
      <c r="G409" s="3">
        <v>45031</v>
      </c>
      <c r="H409" s="4" t="s">
        <v>435</v>
      </c>
      <c r="I409" s="4" t="s">
        <v>20</v>
      </c>
      <c r="J409" s="4">
        <v>64</v>
      </c>
      <c r="K409" s="4" t="str" cm="1">
        <f t="array" ref="K409">_xlfn.IFS(J409&lt;30, "Young Adult", J409&lt;50, "Adult", J409&gt;=50, "Senior")</f>
        <v>Senior</v>
      </c>
      <c r="L409" s="4" t="s">
        <v>17</v>
      </c>
      <c r="M409" s="4">
        <v>1</v>
      </c>
      <c r="N409" s="5">
        <v>500</v>
      </c>
      <c r="O409">
        <f>M409*N409</f>
        <v>500</v>
      </c>
      <c r="P409" s="14">
        <f>O409*$S$3</f>
        <v>7.5</v>
      </c>
    </row>
    <row r="410" spans="1:16">
      <c r="A410" s="2">
        <v>409</v>
      </c>
      <c r="B410" s="4">
        <f>YEAR(G410)</f>
        <v>2023</v>
      </c>
      <c r="C410" s="4">
        <f>MONTH(G410)</f>
        <v>12</v>
      </c>
      <c r="D410" s="4">
        <f>DAY(G410)</f>
        <v>18</v>
      </c>
      <c r="E410" s="4" t="str">
        <f>TEXT(G410, "mmmm")</f>
        <v>December</v>
      </c>
      <c r="F410" s="4" t="str">
        <f>TEXT(G410, "dddd")</f>
        <v>Monday</v>
      </c>
      <c r="G410" s="3">
        <v>45278</v>
      </c>
      <c r="H410" s="4" t="s">
        <v>436</v>
      </c>
      <c r="I410" s="4" t="s">
        <v>20</v>
      </c>
      <c r="J410" s="4">
        <v>21</v>
      </c>
      <c r="K410" s="4" t="str" cm="1">
        <f t="array" ref="K410">_xlfn.IFS(J410&lt;30, "Young Adult", J410&lt;50, "Adult", J410&gt;=50, "Senior")</f>
        <v>Young Adult</v>
      </c>
      <c r="L410" s="4" t="s">
        <v>24</v>
      </c>
      <c r="M410" s="4">
        <v>3</v>
      </c>
      <c r="N410" s="5">
        <v>300</v>
      </c>
      <c r="O410">
        <f>M410*N410</f>
        <v>900</v>
      </c>
      <c r="P410" s="14">
        <f>O410*$S$3</f>
        <v>13.5</v>
      </c>
    </row>
    <row r="411" spans="1:16">
      <c r="A411" s="2">
        <v>410</v>
      </c>
      <c r="B411" s="4">
        <f>YEAR(G411)</f>
        <v>2023</v>
      </c>
      <c r="C411" s="4">
        <f>MONTH(G411)</f>
        <v>11</v>
      </c>
      <c r="D411" s="4">
        <f>DAY(G411)</f>
        <v>21</v>
      </c>
      <c r="E411" s="4" t="str">
        <f>TEXT(G411, "mmmm")</f>
        <v>November</v>
      </c>
      <c r="F411" s="4" t="str">
        <f>TEXT(G411, "dddd")</f>
        <v>Tuesday</v>
      </c>
      <c r="G411" s="3">
        <v>45251</v>
      </c>
      <c r="H411" s="4" t="s">
        <v>437</v>
      </c>
      <c r="I411" s="4" t="s">
        <v>20</v>
      </c>
      <c r="J411" s="4">
        <v>29</v>
      </c>
      <c r="K411" s="4" t="str" cm="1">
        <f t="array" ref="K411">_xlfn.IFS(J411&lt;30, "Young Adult", J411&lt;50, "Adult", J411&gt;=50, "Senior")</f>
        <v>Young Adult</v>
      </c>
      <c r="L411" s="4" t="s">
        <v>21</v>
      </c>
      <c r="M411" s="4">
        <v>2</v>
      </c>
      <c r="N411" s="5">
        <v>50</v>
      </c>
      <c r="O411">
        <f>M411*N411</f>
        <v>100</v>
      </c>
      <c r="P411" s="14">
        <f>O411*$S$3</f>
        <v>1.5</v>
      </c>
    </row>
    <row r="412" spans="1:16">
      <c r="A412" s="2">
        <v>411</v>
      </c>
      <c r="B412" s="4">
        <f>YEAR(G412)</f>
        <v>2023</v>
      </c>
      <c r="C412" s="4">
        <f>MONTH(G412)</f>
        <v>5</v>
      </c>
      <c r="D412" s="4">
        <f>DAY(G412)</f>
        <v>16</v>
      </c>
      <c r="E412" s="4" t="str">
        <f>TEXT(G412, "mmmm")</f>
        <v>May</v>
      </c>
      <c r="F412" s="4" t="str">
        <f>TEXT(G412, "dddd")</f>
        <v>Tuesday</v>
      </c>
      <c r="G412" s="3">
        <v>45062</v>
      </c>
      <c r="H412" s="4" t="s">
        <v>438</v>
      </c>
      <c r="I412" s="4" t="s">
        <v>16</v>
      </c>
      <c r="J412" s="4">
        <v>62</v>
      </c>
      <c r="K412" s="4" t="str" cm="1">
        <f t="array" ref="K412">_xlfn.IFS(J412&lt;30, "Young Adult", J412&lt;50, "Adult", J412&gt;=50, "Senior")</f>
        <v>Senior</v>
      </c>
      <c r="L412" s="4" t="s">
        <v>24</v>
      </c>
      <c r="M412" s="4">
        <v>4</v>
      </c>
      <c r="N412" s="5">
        <v>50</v>
      </c>
      <c r="O412">
        <f>M412*N412</f>
        <v>200</v>
      </c>
      <c r="P412" s="14">
        <f>O412*$S$3</f>
        <v>3</v>
      </c>
    </row>
    <row r="413" spans="1:16">
      <c r="A413" s="2">
        <v>412</v>
      </c>
      <c r="B413" s="4">
        <f>YEAR(G413)</f>
        <v>2023</v>
      </c>
      <c r="C413" s="4">
        <f>MONTH(G413)</f>
        <v>9</v>
      </c>
      <c r="D413" s="4">
        <f>DAY(G413)</f>
        <v>16</v>
      </c>
      <c r="E413" s="4" t="str">
        <f>TEXT(G413, "mmmm")</f>
        <v>September</v>
      </c>
      <c r="F413" s="4" t="str">
        <f>TEXT(G413, "dddd")</f>
        <v>Saturday</v>
      </c>
      <c r="G413" s="3">
        <v>45185</v>
      </c>
      <c r="H413" s="4" t="s">
        <v>439</v>
      </c>
      <c r="I413" s="4" t="s">
        <v>20</v>
      </c>
      <c r="J413" s="4">
        <v>19</v>
      </c>
      <c r="K413" s="4" t="str" cm="1">
        <f t="array" ref="K413">_xlfn.IFS(J413&lt;30, "Young Adult", J413&lt;50, "Adult", J413&gt;=50, "Senior")</f>
        <v>Young Adult</v>
      </c>
      <c r="L413" s="4" t="s">
        <v>24</v>
      </c>
      <c r="M413" s="4">
        <v>4</v>
      </c>
      <c r="N413" s="5">
        <v>500</v>
      </c>
      <c r="O413">
        <f>M413*N413</f>
        <v>2000</v>
      </c>
      <c r="P413" s="14">
        <f>O413*$S$3</f>
        <v>30</v>
      </c>
    </row>
    <row r="414" spans="1:16">
      <c r="A414" s="2">
        <v>413</v>
      </c>
      <c r="B414" s="4">
        <f>YEAR(G414)</f>
        <v>2023</v>
      </c>
      <c r="C414" s="4">
        <f>MONTH(G414)</f>
        <v>9</v>
      </c>
      <c r="D414" s="4">
        <f>DAY(G414)</f>
        <v>8</v>
      </c>
      <c r="E414" s="4" t="str">
        <f>TEXT(G414, "mmmm")</f>
        <v>September</v>
      </c>
      <c r="F414" s="4" t="str">
        <f>TEXT(G414, "dddd")</f>
        <v>Friday</v>
      </c>
      <c r="G414" s="3">
        <v>45177</v>
      </c>
      <c r="H414" s="4" t="s">
        <v>440</v>
      </c>
      <c r="I414" s="4" t="s">
        <v>20</v>
      </c>
      <c r="J414" s="4">
        <v>44</v>
      </c>
      <c r="K414" s="4" t="str" cm="1">
        <f t="array" ref="K414">_xlfn.IFS(J414&lt;30, "Young Adult", J414&lt;50, "Adult", J414&gt;=50, "Senior")</f>
        <v>Adult</v>
      </c>
      <c r="L414" s="4" t="s">
        <v>17</v>
      </c>
      <c r="M414" s="4">
        <v>3</v>
      </c>
      <c r="N414" s="5">
        <v>25</v>
      </c>
      <c r="O414">
        <f>M414*N414</f>
        <v>75</v>
      </c>
      <c r="P414" s="14">
        <f>O414*$S$3</f>
        <v>1.125</v>
      </c>
    </row>
    <row r="415" spans="1:16">
      <c r="A415" s="2">
        <v>414</v>
      </c>
      <c r="B415" s="4">
        <f>YEAR(G415)</f>
        <v>2023</v>
      </c>
      <c r="C415" s="4">
        <f>MONTH(G415)</f>
        <v>5</v>
      </c>
      <c r="D415" s="4">
        <f>DAY(G415)</f>
        <v>9</v>
      </c>
      <c r="E415" s="4" t="str">
        <f>TEXT(G415, "mmmm")</f>
        <v>May</v>
      </c>
      <c r="F415" s="4" t="str">
        <f>TEXT(G415, "dddd")</f>
        <v>Tuesday</v>
      </c>
      <c r="G415" s="3">
        <v>45055</v>
      </c>
      <c r="H415" s="4" t="s">
        <v>441</v>
      </c>
      <c r="I415" s="4" t="s">
        <v>16</v>
      </c>
      <c r="J415" s="4">
        <v>48</v>
      </c>
      <c r="K415" s="4" t="str" cm="1">
        <f t="array" ref="K415">_xlfn.IFS(J415&lt;30, "Young Adult", J415&lt;50, "Adult", J415&gt;=50, "Senior")</f>
        <v>Adult</v>
      </c>
      <c r="L415" s="4" t="s">
        <v>17</v>
      </c>
      <c r="M415" s="4">
        <v>4</v>
      </c>
      <c r="N415" s="5">
        <v>25</v>
      </c>
      <c r="O415">
        <f>M415*N415</f>
        <v>100</v>
      </c>
      <c r="P415" s="14">
        <f>O415*$S$3</f>
        <v>1.5</v>
      </c>
    </row>
    <row r="416" spans="1:16">
      <c r="A416" s="2">
        <v>415</v>
      </c>
      <c r="B416" s="4">
        <f>YEAR(G416)</f>
        <v>2023</v>
      </c>
      <c r="C416" s="4">
        <f>MONTH(G416)</f>
        <v>1</v>
      </c>
      <c r="D416" s="4">
        <f>DAY(G416)</f>
        <v>27</v>
      </c>
      <c r="E416" s="4" t="str">
        <f>TEXT(G416, "mmmm")</f>
        <v>January</v>
      </c>
      <c r="F416" s="4" t="str">
        <f>TEXT(G416, "dddd")</f>
        <v>Friday</v>
      </c>
      <c r="G416" s="3">
        <v>44953</v>
      </c>
      <c r="H416" s="4" t="s">
        <v>442</v>
      </c>
      <c r="I416" s="4" t="s">
        <v>16</v>
      </c>
      <c r="J416" s="4">
        <v>53</v>
      </c>
      <c r="K416" s="4" t="str" cm="1">
        <f t="array" ref="K416">_xlfn.IFS(J416&lt;30, "Young Adult", J416&lt;50, "Adult", J416&gt;=50, "Senior")</f>
        <v>Senior</v>
      </c>
      <c r="L416" s="4" t="s">
        <v>21</v>
      </c>
      <c r="M416" s="4">
        <v>2</v>
      </c>
      <c r="N416" s="5">
        <v>30</v>
      </c>
      <c r="O416">
        <f>M416*N416</f>
        <v>60</v>
      </c>
      <c r="P416" s="14">
        <f>O416*$S$3</f>
        <v>0.89999999999999991</v>
      </c>
    </row>
    <row r="417" spans="1:16">
      <c r="A417" s="2">
        <v>416</v>
      </c>
      <c r="B417" s="4">
        <f>YEAR(G417)</f>
        <v>2023</v>
      </c>
      <c r="C417" s="4">
        <f>MONTH(G417)</f>
        <v>2</v>
      </c>
      <c r="D417" s="4">
        <f>DAY(G417)</f>
        <v>17</v>
      </c>
      <c r="E417" s="4" t="str">
        <f>TEXT(G417, "mmmm")</f>
        <v>February</v>
      </c>
      <c r="F417" s="4" t="str">
        <f>TEXT(G417, "dddd")</f>
        <v>Friday</v>
      </c>
      <c r="G417" s="3">
        <v>44974</v>
      </c>
      <c r="H417" s="4" t="s">
        <v>443</v>
      </c>
      <c r="I417" s="4" t="s">
        <v>16</v>
      </c>
      <c r="J417" s="4">
        <v>53</v>
      </c>
      <c r="K417" s="4" t="str" cm="1">
        <f t="array" ref="K417">_xlfn.IFS(J417&lt;30, "Young Adult", J417&lt;50, "Adult", J417&gt;=50, "Senior")</f>
        <v>Senior</v>
      </c>
      <c r="L417" s="4" t="s">
        <v>24</v>
      </c>
      <c r="M417" s="4">
        <v>4</v>
      </c>
      <c r="N417" s="5">
        <v>500</v>
      </c>
      <c r="O417">
        <f>M417*N417</f>
        <v>2000</v>
      </c>
      <c r="P417" s="14">
        <f>O417*$S$3</f>
        <v>30</v>
      </c>
    </row>
    <row r="418" spans="1:16">
      <c r="A418" s="2">
        <v>417</v>
      </c>
      <c r="B418" s="4">
        <f>YEAR(G418)</f>
        <v>2023</v>
      </c>
      <c r="C418" s="4">
        <f>MONTH(G418)</f>
        <v>11</v>
      </c>
      <c r="D418" s="4">
        <f>DAY(G418)</f>
        <v>21</v>
      </c>
      <c r="E418" s="4" t="str">
        <f>TEXT(G418, "mmmm")</f>
        <v>November</v>
      </c>
      <c r="F418" s="4" t="str">
        <f>TEXT(G418, "dddd")</f>
        <v>Tuesday</v>
      </c>
      <c r="G418" s="3">
        <v>45251</v>
      </c>
      <c r="H418" s="4" t="s">
        <v>444</v>
      </c>
      <c r="I418" s="4" t="s">
        <v>16</v>
      </c>
      <c r="J418" s="4">
        <v>43</v>
      </c>
      <c r="K418" s="4" t="str" cm="1">
        <f t="array" ref="K418">_xlfn.IFS(J418&lt;30, "Young Adult", J418&lt;50, "Adult", J418&gt;=50, "Senior")</f>
        <v>Adult</v>
      </c>
      <c r="L418" s="4" t="s">
        <v>24</v>
      </c>
      <c r="M418" s="4">
        <v>3</v>
      </c>
      <c r="N418" s="5">
        <v>300</v>
      </c>
      <c r="O418">
        <f>M418*N418</f>
        <v>900</v>
      </c>
      <c r="P418" s="14">
        <f>O418*$S$3</f>
        <v>13.5</v>
      </c>
    </row>
    <row r="419" spans="1:16">
      <c r="A419" s="2">
        <v>418</v>
      </c>
      <c r="B419" s="4">
        <f>YEAR(G419)</f>
        <v>2023</v>
      </c>
      <c r="C419" s="4">
        <f>MONTH(G419)</f>
        <v>8</v>
      </c>
      <c r="D419" s="4">
        <f>DAY(G419)</f>
        <v>5</v>
      </c>
      <c r="E419" s="4" t="str">
        <f>TEXT(G419, "mmmm")</f>
        <v>August</v>
      </c>
      <c r="F419" s="4" t="str">
        <f>TEXT(G419, "dddd")</f>
        <v>Saturday</v>
      </c>
      <c r="G419" s="3">
        <v>45143</v>
      </c>
      <c r="H419" s="4" t="s">
        <v>445</v>
      </c>
      <c r="I419" s="4" t="s">
        <v>20</v>
      </c>
      <c r="J419" s="4">
        <v>60</v>
      </c>
      <c r="K419" s="4" t="str" cm="1">
        <f t="array" ref="K419">_xlfn.IFS(J419&lt;30, "Young Adult", J419&lt;50, "Adult", J419&gt;=50, "Senior")</f>
        <v>Senior</v>
      </c>
      <c r="L419" s="4" t="s">
        <v>24</v>
      </c>
      <c r="M419" s="4">
        <v>2</v>
      </c>
      <c r="N419" s="5">
        <v>500</v>
      </c>
      <c r="O419">
        <f>M419*N419</f>
        <v>1000</v>
      </c>
      <c r="P419" s="14">
        <f>O419*$S$3</f>
        <v>15</v>
      </c>
    </row>
    <row r="420" spans="1:16">
      <c r="A420" s="2">
        <v>419</v>
      </c>
      <c r="B420" s="4">
        <f>YEAR(G420)</f>
        <v>2023</v>
      </c>
      <c r="C420" s="4">
        <f>MONTH(G420)</f>
        <v>5</v>
      </c>
      <c r="D420" s="4">
        <f>DAY(G420)</f>
        <v>22</v>
      </c>
      <c r="E420" s="4" t="str">
        <f>TEXT(G420, "mmmm")</f>
        <v>May</v>
      </c>
      <c r="F420" s="4" t="str">
        <f>TEXT(G420, "dddd")</f>
        <v>Monday</v>
      </c>
      <c r="G420" s="3">
        <v>45068</v>
      </c>
      <c r="H420" s="4" t="s">
        <v>446</v>
      </c>
      <c r="I420" s="4" t="s">
        <v>20</v>
      </c>
      <c r="J420" s="4">
        <v>44</v>
      </c>
      <c r="K420" s="4" t="str" cm="1">
        <f t="array" ref="K420">_xlfn.IFS(J420&lt;30, "Young Adult", J420&lt;50, "Adult", J420&gt;=50, "Senior")</f>
        <v>Adult</v>
      </c>
      <c r="L420" s="4" t="s">
        <v>21</v>
      </c>
      <c r="M420" s="4">
        <v>3</v>
      </c>
      <c r="N420" s="5">
        <v>30</v>
      </c>
      <c r="O420">
        <f>M420*N420</f>
        <v>90</v>
      </c>
      <c r="P420" s="14">
        <f>O420*$S$3</f>
        <v>1.3499999999999999</v>
      </c>
    </row>
    <row r="421" spans="1:16">
      <c r="A421" s="2">
        <v>420</v>
      </c>
      <c r="B421" s="4">
        <f>YEAR(G421)</f>
        <v>2023</v>
      </c>
      <c r="C421" s="4">
        <f>MONTH(G421)</f>
        <v>1</v>
      </c>
      <c r="D421" s="4">
        <f>DAY(G421)</f>
        <v>23</v>
      </c>
      <c r="E421" s="4" t="str">
        <f>TEXT(G421, "mmmm")</f>
        <v>January</v>
      </c>
      <c r="F421" s="4" t="str">
        <f>TEXT(G421, "dddd")</f>
        <v>Monday</v>
      </c>
      <c r="G421" s="3">
        <v>44949</v>
      </c>
      <c r="H421" s="4" t="s">
        <v>447</v>
      </c>
      <c r="I421" s="4" t="s">
        <v>20</v>
      </c>
      <c r="J421" s="4">
        <v>22</v>
      </c>
      <c r="K421" s="4" t="str" cm="1">
        <f t="array" ref="K421">_xlfn.IFS(J421&lt;30, "Young Adult", J421&lt;50, "Adult", J421&gt;=50, "Senior")</f>
        <v>Young Adult</v>
      </c>
      <c r="L421" s="4" t="s">
        <v>21</v>
      </c>
      <c r="M421" s="4">
        <v>4</v>
      </c>
      <c r="N421" s="5">
        <v>500</v>
      </c>
      <c r="O421">
        <f>M421*N421</f>
        <v>2000</v>
      </c>
      <c r="P421" s="14">
        <f>O421*$S$3</f>
        <v>30</v>
      </c>
    </row>
    <row r="422" spans="1:16">
      <c r="A422" s="2">
        <v>421</v>
      </c>
      <c r="B422" s="4">
        <f>YEAR(G422)</f>
        <v>2023</v>
      </c>
      <c r="C422" s="4">
        <f>MONTH(G422)</f>
        <v>1</v>
      </c>
      <c r="D422" s="4">
        <f>DAY(G422)</f>
        <v>2</v>
      </c>
      <c r="E422" s="4" t="str">
        <f>TEXT(G422, "mmmm")</f>
        <v>January</v>
      </c>
      <c r="F422" s="4" t="str">
        <f>TEXT(G422, "dddd")</f>
        <v>Monday</v>
      </c>
      <c r="G422" s="3">
        <v>44928</v>
      </c>
      <c r="H422" s="4" t="s">
        <v>448</v>
      </c>
      <c r="I422" s="4" t="s">
        <v>20</v>
      </c>
      <c r="J422" s="4">
        <v>37</v>
      </c>
      <c r="K422" s="4" t="str" cm="1">
        <f t="array" ref="K422">_xlfn.IFS(J422&lt;30, "Young Adult", J422&lt;50, "Adult", J422&gt;=50, "Senior")</f>
        <v>Adult</v>
      </c>
      <c r="L422" s="4" t="s">
        <v>21</v>
      </c>
      <c r="M422" s="4">
        <v>3</v>
      </c>
      <c r="N422" s="5">
        <v>500</v>
      </c>
      <c r="O422">
        <f>M422*N422</f>
        <v>1500</v>
      </c>
      <c r="P422" s="14">
        <f>O422*$S$3</f>
        <v>22.5</v>
      </c>
    </row>
    <row r="423" spans="1:16">
      <c r="A423" s="2">
        <v>422</v>
      </c>
      <c r="B423" s="4">
        <f>YEAR(G423)</f>
        <v>2023</v>
      </c>
      <c r="C423" s="4">
        <f>MONTH(G423)</f>
        <v>6</v>
      </c>
      <c r="D423" s="4">
        <f>DAY(G423)</f>
        <v>20</v>
      </c>
      <c r="E423" s="4" t="str">
        <f>TEXT(G423, "mmmm")</f>
        <v>June</v>
      </c>
      <c r="F423" s="4" t="str">
        <f>TEXT(G423, "dddd")</f>
        <v>Tuesday</v>
      </c>
      <c r="G423" s="3">
        <v>45097</v>
      </c>
      <c r="H423" s="4" t="s">
        <v>449</v>
      </c>
      <c r="I423" s="4" t="s">
        <v>20</v>
      </c>
      <c r="J423" s="4">
        <v>28</v>
      </c>
      <c r="K423" s="4" t="str" cm="1">
        <f t="array" ref="K423">_xlfn.IFS(J423&lt;30, "Young Adult", J423&lt;50, "Adult", J423&gt;=50, "Senior")</f>
        <v>Young Adult</v>
      </c>
      <c r="L423" s="4" t="s">
        <v>21</v>
      </c>
      <c r="M423" s="4">
        <v>3</v>
      </c>
      <c r="N423" s="5">
        <v>30</v>
      </c>
      <c r="O423">
        <f>M423*N423</f>
        <v>90</v>
      </c>
      <c r="P423" s="14">
        <f>O423*$S$3</f>
        <v>1.3499999999999999</v>
      </c>
    </row>
    <row r="424" spans="1:16">
      <c r="A424" s="2">
        <v>423</v>
      </c>
      <c r="B424" s="4">
        <f>YEAR(G424)</f>
        <v>2023</v>
      </c>
      <c r="C424" s="4">
        <f>MONTH(G424)</f>
        <v>3</v>
      </c>
      <c r="D424" s="4">
        <f>DAY(G424)</f>
        <v>8</v>
      </c>
      <c r="E424" s="4" t="str">
        <f>TEXT(G424, "mmmm")</f>
        <v>March</v>
      </c>
      <c r="F424" s="4" t="str">
        <f>TEXT(G424, "dddd")</f>
        <v>Wednesday</v>
      </c>
      <c r="G424" s="3">
        <v>44993</v>
      </c>
      <c r="H424" s="4" t="s">
        <v>450</v>
      </c>
      <c r="I424" s="4" t="s">
        <v>20</v>
      </c>
      <c r="J424" s="4">
        <v>27</v>
      </c>
      <c r="K424" s="4" t="str" cm="1">
        <f t="array" ref="K424">_xlfn.IFS(J424&lt;30, "Young Adult", J424&lt;50, "Adult", J424&gt;=50, "Senior")</f>
        <v>Young Adult</v>
      </c>
      <c r="L424" s="4" t="s">
        <v>21</v>
      </c>
      <c r="M424" s="4">
        <v>1</v>
      </c>
      <c r="N424" s="5">
        <v>25</v>
      </c>
      <c r="O424">
        <f>M424*N424</f>
        <v>25</v>
      </c>
      <c r="P424" s="14">
        <f>O424*$S$3</f>
        <v>0.375</v>
      </c>
    </row>
    <row r="425" spans="1:16">
      <c r="A425" s="2">
        <v>424</v>
      </c>
      <c r="B425" s="4">
        <f>YEAR(G425)</f>
        <v>2023</v>
      </c>
      <c r="C425" s="4">
        <f>MONTH(G425)</f>
        <v>11</v>
      </c>
      <c r="D425" s="4">
        <f>DAY(G425)</f>
        <v>23</v>
      </c>
      <c r="E425" s="4" t="str">
        <f>TEXT(G425, "mmmm")</f>
        <v>November</v>
      </c>
      <c r="F425" s="4" t="str">
        <f>TEXT(G425, "dddd")</f>
        <v>Thursday</v>
      </c>
      <c r="G425" s="3">
        <v>45253</v>
      </c>
      <c r="H425" s="4" t="s">
        <v>451</v>
      </c>
      <c r="I425" s="4" t="s">
        <v>16</v>
      </c>
      <c r="J425" s="4">
        <v>57</v>
      </c>
      <c r="K425" s="4" t="str" cm="1">
        <f t="array" ref="K425">_xlfn.IFS(J425&lt;30, "Young Adult", J425&lt;50, "Adult", J425&gt;=50, "Senior")</f>
        <v>Senior</v>
      </c>
      <c r="L425" s="4" t="s">
        <v>17</v>
      </c>
      <c r="M425" s="4">
        <v>4</v>
      </c>
      <c r="N425" s="5">
        <v>300</v>
      </c>
      <c r="O425">
        <f>M425*N425</f>
        <v>1200</v>
      </c>
      <c r="P425" s="14">
        <f>O425*$S$3</f>
        <v>18</v>
      </c>
    </row>
    <row r="426" spans="1:16">
      <c r="A426" s="2">
        <v>425</v>
      </c>
      <c r="B426" s="4">
        <f>YEAR(G426)</f>
        <v>2023</v>
      </c>
      <c r="C426" s="4">
        <f>MONTH(G426)</f>
        <v>5</v>
      </c>
      <c r="D426" s="4">
        <f>DAY(G426)</f>
        <v>15</v>
      </c>
      <c r="E426" s="4" t="str">
        <f>TEXT(G426, "mmmm")</f>
        <v>May</v>
      </c>
      <c r="F426" s="4" t="str">
        <f>TEXT(G426, "dddd")</f>
        <v>Monday</v>
      </c>
      <c r="G426" s="3">
        <v>45061</v>
      </c>
      <c r="H426" s="4" t="s">
        <v>452</v>
      </c>
      <c r="I426" s="4" t="s">
        <v>20</v>
      </c>
      <c r="J426" s="4">
        <v>55</v>
      </c>
      <c r="K426" s="4" t="str" cm="1">
        <f t="array" ref="K426">_xlfn.IFS(J426&lt;30, "Young Adult", J426&lt;50, "Adult", J426&gt;=50, "Senior")</f>
        <v>Senior</v>
      </c>
      <c r="L426" s="4" t="s">
        <v>24</v>
      </c>
      <c r="M426" s="4">
        <v>4</v>
      </c>
      <c r="N426" s="5">
        <v>30</v>
      </c>
      <c r="O426">
        <f>M426*N426</f>
        <v>120</v>
      </c>
      <c r="P426" s="14">
        <f>O426*$S$3</f>
        <v>1.7999999999999998</v>
      </c>
    </row>
    <row r="427" spans="1:16">
      <c r="A427" s="2">
        <v>426</v>
      </c>
      <c r="B427" s="4">
        <f>YEAR(G427)</f>
        <v>2023</v>
      </c>
      <c r="C427" s="4">
        <f>MONTH(G427)</f>
        <v>3</v>
      </c>
      <c r="D427" s="4">
        <f>DAY(G427)</f>
        <v>24</v>
      </c>
      <c r="E427" s="4" t="str">
        <f>TEXT(G427, "mmmm")</f>
        <v>March</v>
      </c>
      <c r="F427" s="4" t="str">
        <f>TEXT(G427, "dddd")</f>
        <v>Friday</v>
      </c>
      <c r="G427" s="3">
        <v>45009</v>
      </c>
      <c r="H427" s="4" t="s">
        <v>453</v>
      </c>
      <c r="I427" s="4" t="s">
        <v>16</v>
      </c>
      <c r="J427" s="4">
        <v>23</v>
      </c>
      <c r="K427" s="4" t="str" cm="1">
        <f t="array" ref="K427">_xlfn.IFS(J427&lt;30, "Young Adult", J427&lt;50, "Adult", J427&gt;=50, "Senior")</f>
        <v>Young Adult</v>
      </c>
      <c r="L427" s="4" t="s">
        <v>24</v>
      </c>
      <c r="M427" s="4">
        <v>3</v>
      </c>
      <c r="N427" s="5">
        <v>50</v>
      </c>
      <c r="O427">
        <f>M427*N427</f>
        <v>150</v>
      </c>
      <c r="P427" s="14">
        <f>O427*$S$3</f>
        <v>2.25</v>
      </c>
    </row>
    <row r="428" spans="1:16">
      <c r="A428" s="2">
        <v>427</v>
      </c>
      <c r="B428" s="4">
        <f>YEAR(G428)</f>
        <v>2023</v>
      </c>
      <c r="C428" s="4">
        <f>MONTH(G428)</f>
        <v>8</v>
      </c>
      <c r="D428" s="4">
        <f>DAY(G428)</f>
        <v>15</v>
      </c>
      <c r="E428" s="4" t="str">
        <f>TEXT(G428, "mmmm")</f>
        <v>August</v>
      </c>
      <c r="F428" s="4" t="str">
        <f>TEXT(G428, "dddd")</f>
        <v>Tuesday</v>
      </c>
      <c r="G428" s="3">
        <v>45153</v>
      </c>
      <c r="H428" s="4" t="s">
        <v>454</v>
      </c>
      <c r="I428" s="4" t="s">
        <v>16</v>
      </c>
      <c r="J428" s="4">
        <v>25</v>
      </c>
      <c r="K428" s="4" t="str" cm="1">
        <f t="array" ref="K428">_xlfn.IFS(J428&lt;30, "Young Adult", J428&lt;50, "Adult", J428&gt;=50, "Senior")</f>
        <v>Young Adult</v>
      </c>
      <c r="L428" s="4" t="s">
        <v>24</v>
      </c>
      <c r="M428" s="4">
        <v>1</v>
      </c>
      <c r="N428" s="5">
        <v>25</v>
      </c>
      <c r="O428">
        <f>M428*N428</f>
        <v>25</v>
      </c>
      <c r="P428" s="14">
        <f>O428*$S$3</f>
        <v>0.375</v>
      </c>
    </row>
    <row r="429" spans="1:16">
      <c r="A429" s="2">
        <v>428</v>
      </c>
      <c r="B429" s="4">
        <f>YEAR(G429)</f>
        <v>2023</v>
      </c>
      <c r="C429" s="4">
        <f>MONTH(G429)</f>
        <v>10</v>
      </c>
      <c r="D429" s="4">
        <f>DAY(G429)</f>
        <v>10</v>
      </c>
      <c r="E429" s="4" t="str">
        <f>TEXT(G429, "mmmm")</f>
        <v>October</v>
      </c>
      <c r="F429" s="4" t="str">
        <f>TEXT(G429, "dddd")</f>
        <v>Tuesday</v>
      </c>
      <c r="G429" s="3">
        <v>45209</v>
      </c>
      <c r="H429" s="4" t="s">
        <v>455</v>
      </c>
      <c r="I429" s="4" t="s">
        <v>20</v>
      </c>
      <c r="J429" s="4">
        <v>40</v>
      </c>
      <c r="K429" s="4" t="str" cm="1">
        <f t="array" ref="K429">_xlfn.IFS(J429&lt;30, "Young Adult", J429&lt;50, "Adult", J429&gt;=50, "Senior")</f>
        <v>Adult</v>
      </c>
      <c r="L429" s="4" t="s">
        <v>24</v>
      </c>
      <c r="M429" s="4">
        <v>4</v>
      </c>
      <c r="N429" s="5">
        <v>50</v>
      </c>
      <c r="O429">
        <f>M429*N429</f>
        <v>200</v>
      </c>
      <c r="P429" s="14">
        <f>O429*$S$3</f>
        <v>3</v>
      </c>
    </row>
    <row r="430" spans="1:16">
      <c r="A430" s="2">
        <v>429</v>
      </c>
      <c r="B430" s="4">
        <f>YEAR(G430)</f>
        <v>2023</v>
      </c>
      <c r="C430" s="4">
        <f>MONTH(G430)</f>
        <v>12</v>
      </c>
      <c r="D430" s="4">
        <f>DAY(G430)</f>
        <v>28</v>
      </c>
      <c r="E430" s="4" t="str">
        <f>TEXT(G430, "mmmm")</f>
        <v>December</v>
      </c>
      <c r="F430" s="4" t="str">
        <f>TEXT(G430, "dddd")</f>
        <v>Thursday</v>
      </c>
      <c r="G430" s="3">
        <v>45288</v>
      </c>
      <c r="H430" s="4" t="s">
        <v>456</v>
      </c>
      <c r="I430" s="4" t="s">
        <v>16</v>
      </c>
      <c r="J430" s="4">
        <v>64</v>
      </c>
      <c r="K430" s="4" t="str" cm="1">
        <f t="array" ref="K430">_xlfn.IFS(J430&lt;30, "Young Adult", J430&lt;50, "Adult", J430&gt;=50, "Senior")</f>
        <v>Senior</v>
      </c>
      <c r="L430" s="4" t="s">
        <v>24</v>
      </c>
      <c r="M430" s="4">
        <v>2</v>
      </c>
      <c r="N430" s="5">
        <v>25</v>
      </c>
      <c r="O430">
        <f>M430*N430</f>
        <v>50</v>
      </c>
      <c r="P430" s="14">
        <f>O430*$S$3</f>
        <v>0.75</v>
      </c>
    </row>
    <row r="431" spans="1:16">
      <c r="A431" s="2">
        <v>430</v>
      </c>
      <c r="B431" s="4">
        <f>YEAR(G431)</f>
        <v>2023</v>
      </c>
      <c r="C431" s="4">
        <f>MONTH(G431)</f>
        <v>8</v>
      </c>
      <c r="D431" s="4">
        <f>DAY(G431)</f>
        <v>7</v>
      </c>
      <c r="E431" s="4" t="str">
        <f>TEXT(G431, "mmmm")</f>
        <v>August</v>
      </c>
      <c r="F431" s="4" t="str">
        <f>TEXT(G431, "dddd")</f>
        <v>Monday</v>
      </c>
      <c r="G431" s="3">
        <v>45145</v>
      </c>
      <c r="H431" s="4" t="s">
        <v>457</v>
      </c>
      <c r="I431" s="4" t="s">
        <v>20</v>
      </c>
      <c r="J431" s="4">
        <v>43</v>
      </c>
      <c r="K431" s="4" t="str" cm="1">
        <f t="array" ref="K431">_xlfn.IFS(J431&lt;30, "Young Adult", J431&lt;50, "Adult", J431&gt;=50, "Senior")</f>
        <v>Adult</v>
      </c>
      <c r="L431" s="4" t="s">
        <v>24</v>
      </c>
      <c r="M431" s="4">
        <v>3</v>
      </c>
      <c r="N431" s="5">
        <v>300</v>
      </c>
      <c r="O431">
        <f>M431*N431</f>
        <v>900</v>
      </c>
      <c r="P431" s="14">
        <f>O431*$S$3</f>
        <v>13.5</v>
      </c>
    </row>
    <row r="432" spans="1:16">
      <c r="A432" s="2">
        <v>431</v>
      </c>
      <c r="B432" s="4">
        <f>YEAR(G432)</f>
        <v>2023</v>
      </c>
      <c r="C432" s="4">
        <f>MONTH(G432)</f>
        <v>10</v>
      </c>
      <c r="D432" s="4">
        <f>DAY(G432)</f>
        <v>15</v>
      </c>
      <c r="E432" s="4" t="str">
        <f>TEXT(G432, "mmmm")</f>
        <v>October</v>
      </c>
      <c r="F432" s="4" t="str">
        <f>TEXT(G432, "dddd")</f>
        <v>Sunday</v>
      </c>
      <c r="G432" s="3">
        <v>45214</v>
      </c>
      <c r="H432" s="4" t="s">
        <v>458</v>
      </c>
      <c r="I432" s="4" t="s">
        <v>16</v>
      </c>
      <c r="J432" s="4">
        <v>63</v>
      </c>
      <c r="K432" s="4" t="str" cm="1">
        <f t="array" ref="K432">_xlfn.IFS(J432&lt;30, "Young Adult", J432&lt;50, "Adult", J432&gt;=50, "Senior")</f>
        <v>Senior</v>
      </c>
      <c r="L432" s="4" t="s">
        <v>24</v>
      </c>
      <c r="M432" s="4">
        <v>4</v>
      </c>
      <c r="N432" s="5">
        <v>300</v>
      </c>
      <c r="O432">
        <f>M432*N432</f>
        <v>1200</v>
      </c>
      <c r="P432" s="14">
        <f>O432*$S$3</f>
        <v>18</v>
      </c>
    </row>
    <row r="433" spans="1:16">
      <c r="A433" s="2">
        <v>432</v>
      </c>
      <c r="B433" s="4">
        <f>YEAR(G433)</f>
        <v>2023</v>
      </c>
      <c r="C433" s="4">
        <f>MONTH(G433)</f>
        <v>1</v>
      </c>
      <c r="D433" s="4">
        <f>DAY(G433)</f>
        <v>5</v>
      </c>
      <c r="E433" s="4" t="str">
        <f>TEXT(G433, "mmmm")</f>
        <v>January</v>
      </c>
      <c r="F433" s="4" t="str">
        <f>TEXT(G433, "dddd")</f>
        <v>Thursday</v>
      </c>
      <c r="G433" s="3">
        <v>44931</v>
      </c>
      <c r="H433" s="4" t="s">
        <v>459</v>
      </c>
      <c r="I433" s="4" t="s">
        <v>20</v>
      </c>
      <c r="J433" s="4">
        <v>60</v>
      </c>
      <c r="K433" s="4" t="str" cm="1">
        <f t="array" ref="K433">_xlfn.IFS(J433&lt;30, "Young Adult", J433&lt;50, "Adult", J433&gt;=50, "Senior")</f>
        <v>Senior</v>
      </c>
      <c r="L433" s="4" t="s">
        <v>24</v>
      </c>
      <c r="M433" s="4">
        <v>2</v>
      </c>
      <c r="N433" s="5">
        <v>500</v>
      </c>
      <c r="O433">
        <f>M433*N433</f>
        <v>1000</v>
      </c>
      <c r="P433" s="14">
        <f>O433*$S$3</f>
        <v>15</v>
      </c>
    </row>
    <row r="434" spans="1:16">
      <c r="A434" s="2">
        <v>433</v>
      </c>
      <c r="B434" s="4">
        <f>YEAR(G434)</f>
        <v>2023</v>
      </c>
      <c r="C434" s="4">
        <f>MONTH(G434)</f>
        <v>2</v>
      </c>
      <c r="D434" s="4">
        <f>DAY(G434)</f>
        <v>27</v>
      </c>
      <c r="E434" s="4" t="str">
        <f>TEXT(G434, "mmmm")</f>
        <v>February</v>
      </c>
      <c r="F434" s="4" t="str">
        <f>TEXT(G434, "dddd")</f>
        <v>Monday</v>
      </c>
      <c r="G434" s="3">
        <v>44984</v>
      </c>
      <c r="H434" s="4" t="s">
        <v>460</v>
      </c>
      <c r="I434" s="4" t="s">
        <v>16</v>
      </c>
      <c r="J434" s="4">
        <v>29</v>
      </c>
      <c r="K434" s="4" t="str" cm="1">
        <f t="array" ref="K434">_xlfn.IFS(J434&lt;30, "Young Adult", J434&lt;50, "Adult", J434&gt;=50, "Senior")</f>
        <v>Young Adult</v>
      </c>
      <c r="L434" s="4" t="s">
        <v>17</v>
      </c>
      <c r="M434" s="4">
        <v>4</v>
      </c>
      <c r="N434" s="5">
        <v>50</v>
      </c>
      <c r="O434">
        <f>M434*N434</f>
        <v>200</v>
      </c>
      <c r="P434" s="14">
        <f>O434*$S$3</f>
        <v>3</v>
      </c>
    </row>
    <row r="435" spans="1:16">
      <c r="A435" s="2">
        <v>434</v>
      </c>
      <c r="B435" s="4">
        <f>YEAR(G435)</f>
        <v>2023</v>
      </c>
      <c r="C435" s="4">
        <f>MONTH(G435)</f>
        <v>2</v>
      </c>
      <c r="D435" s="4">
        <f>DAY(G435)</f>
        <v>8</v>
      </c>
      <c r="E435" s="4" t="str">
        <f>TEXT(G435, "mmmm")</f>
        <v>February</v>
      </c>
      <c r="F435" s="4" t="str">
        <f>TEXT(G435, "dddd")</f>
        <v>Wednesday</v>
      </c>
      <c r="G435" s="3">
        <v>44965</v>
      </c>
      <c r="H435" s="4" t="s">
        <v>461</v>
      </c>
      <c r="I435" s="4" t="s">
        <v>20</v>
      </c>
      <c r="J435" s="4">
        <v>43</v>
      </c>
      <c r="K435" s="4" t="str" cm="1">
        <f t="array" ref="K435">_xlfn.IFS(J435&lt;30, "Young Adult", J435&lt;50, "Adult", J435&gt;=50, "Senior")</f>
        <v>Adult</v>
      </c>
      <c r="L435" s="4" t="s">
        <v>24</v>
      </c>
      <c r="M435" s="4">
        <v>2</v>
      </c>
      <c r="N435" s="5">
        <v>25</v>
      </c>
      <c r="O435">
        <f>M435*N435</f>
        <v>50</v>
      </c>
      <c r="P435" s="14">
        <f>O435*$S$3</f>
        <v>0.75</v>
      </c>
    </row>
    <row r="436" spans="1:16">
      <c r="A436" s="2">
        <v>435</v>
      </c>
      <c r="B436" s="4">
        <f>YEAR(G436)</f>
        <v>2023</v>
      </c>
      <c r="C436" s="4">
        <f>MONTH(G436)</f>
        <v>12</v>
      </c>
      <c r="D436" s="4">
        <f>DAY(G436)</f>
        <v>20</v>
      </c>
      <c r="E436" s="4" t="str">
        <f>TEXT(G436, "mmmm")</f>
        <v>December</v>
      </c>
      <c r="F436" s="4" t="str">
        <f>TEXT(G436, "dddd")</f>
        <v>Wednesday</v>
      </c>
      <c r="G436" s="3">
        <v>45280</v>
      </c>
      <c r="H436" s="4" t="s">
        <v>462</v>
      </c>
      <c r="I436" s="4" t="s">
        <v>20</v>
      </c>
      <c r="J436" s="4">
        <v>30</v>
      </c>
      <c r="K436" s="4" t="str" cm="1">
        <f t="array" ref="K436">_xlfn.IFS(J436&lt;30, "Young Adult", J436&lt;50, "Adult", J436&gt;=50, "Senior")</f>
        <v>Adult</v>
      </c>
      <c r="L436" s="4" t="s">
        <v>17</v>
      </c>
      <c r="M436" s="4">
        <v>3</v>
      </c>
      <c r="N436" s="5">
        <v>300</v>
      </c>
      <c r="O436">
        <f>M436*N436</f>
        <v>900</v>
      </c>
      <c r="P436" s="14">
        <f>O436*$S$3</f>
        <v>13.5</v>
      </c>
    </row>
    <row r="437" spans="1:16">
      <c r="A437" s="2">
        <v>436</v>
      </c>
      <c r="B437" s="4">
        <f>YEAR(G437)</f>
        <v>2023</v>
      </c>
      <c r="C437" s="4">
        <f>MONTH(G437)</f>
        <v>3</v>
      </c>
      <c r="D437" s="4">
        <f>DAY(G437)</f>
        <v>18</v>
      </c>
      <c r="E437" s="4" t="str">
        <f>TEXT(G437, "mmmm")</f>
        <v>March</v>
      </c>
      <c r="F437" s="4" t="str">
        <f>TEXT(G437, "dddd")</f>
        <v>Saturday</v>
      </c>
      <c r="G437" s="3">
        <v>45003</v>
      </c>
      <c r="H437" s="4" t="s">
        <v>463</v>
      </c>
      <c r="I437" s="4" t="s">
        <v>20</v>
      </c>
      <c r="J437" s="4">
        <v>57</v>
      </c>
      <c r="K437" s="4" t="str" cm="1">
        <f t="array" ref="K437">_xlfn.IFS(J437&lt;30, "Young Adult", J437&lt;50, "Adult", J437&gt;=50, "Senior")</f>
        <v>Senior</v>
      </c>
      <c r="L437" s="4" t="s">
        <v>21</v>
      </c>
      <c r="M437" s="4">
        <v>4</v>
      </c>
      <c r="N437" s="5">
        <v>30</v>
      </c>
      <c r="O437">
        <f>M437*N437</f>
        <v>120</v>
      </c>
      <c r="P437" s="14">
        <f>O437*$S$3</f>
        <v>1.7999999999999998</v>
      </c>
    </row>
    <row r="438" spans="1:16">
      <c r="A438" s="2">
        <v>437</v>
      </c>
      <c r="B438" s="4">
        <f>YEAR(G438)</f>
        <v>2023</v>
      </c>
      <c r="C438" s="4">
        <f>MONTH(G438)</f>
        <v>10</v>
      </c>
      <c r="D438" s="4">
        <f>DAY(G438)</f>
        <v>7</v>
      </c>
      <c r="E438" s="4" t="str">
        <f>TEXT(G438, "mmmm")</f>
        <v>October</v>
      </c>
      <c r="F438" s="4" t="str">
        <f>TEXT(G438, "dddd")</f>
        <v>Saturday</v>
      </c>
      <c r="G438" s="3">
        <v>45206</v>
      </c>
      <c r="H438" s="4" t="s">
        <v>464</v>
      </c>
      <c r="I438" s="4" t="s">
        <v>20</v>
      </c>
      <c r="J438" s="4">
        <v>35</v>
      </c>
      <c r="K438" s="4" t="str" cm="1">
        <f t="array" ref="K438">_xlfn.IFS(J438&lt;30, "Young Adult", J438&lt;50, "Adult", J438&gt;=50, "Senior")</f>
        <v>Adult</v>
      </c>
      <c r="L438" s="4" t="s">
        <v>24</v>
      </c>
      <c r="M438" s="4">
        <v>4</v>
      </c>
      <c r="N438" s="5">
        <v>300</v>
      </c>
      <c r="O438">
        <f>M438*N438</f>
        <v>1200</v>
      </c>
      <c r="P438" s="14">
        <f>O438*$S$3</f>
        <v>18</v>
      </c>
    </row>
    <row r="439" spans="1:16">
      <c r="A439" s="2">
        <v>438</v>
      </c>
      <c r="B439" s="4">
        <f>YEAR(G439)</f>
        <v>2023</v>
      </c>
      <c r="C439" s="4">
        <f>MONTH(G439)</f>
        <v>1</v>
      </c>
      <c r="D439" s="4">
        <f>DAY(G439)</f>
        <v>19</v>
      </c>
      <c r="E439" s="4" t="str">
        <f>TEXT(G439, "mmmm")</f>
        <v>January</v>
      </c>
      <c r="F439" s="4" t="str">
        <f>TEXT(G439, "dddd")</f>
        <v>Thursday</v>
      </c>
      <c r="G439" s="3">
        <v>44945</v>
      </c>
      <c r="H439" s="4" t="s">
        <v>465</v>
      </c>
      <c r="I439" s="4" t="s">
        <v>20</v>
      </c>
      <c r="J439" s="4">
        <v>42</v>
      </c>
      <c r="K439" s="4" t="str" cm="1">
        <f t="array" ref="K439">_xlfn.IFS(J439&lt;30, "Young Adult", J439&lt;50, "Adult", J439&gt;=50, "Senior")</f>
        <v>Adult</v>
      </c>
      <c r="L439" s="4" t="s">
        <v>21</v>
      </c>
      <c r="M439" s="4">
        <v>1</v>
      </c>
      <c r="N439" s="5">
        <v>30</v>
      </c>
      <c r="O439">
        <f>M439*N439</f>
        <v>30</v>
      </c>
      <c r="P439" s="14">
        <f>O439*$S$3</f>
        <v>0.44999999999999996</v>
      </c>
    </row>
    <row r="440" spans="1:16">
      <c r="A440" s="2">
        <v>439</v>
      </c>
      <c r="B440" s="4">
        <f>YEAR(G440)</f>
        <v>2023</v>
      </c>
      <c r="C440" s="4">
        <f>MONTH(G440)</f>
        <v>7</v>
      </c>
      <c r="D440" s="4">
        <f>DAY(G440)</f>
        <v>9</v>
      </c>
      <c r="E440" s="4" t="str">
        <f>TEXT(G440, "mmmm")</f>
        <v>July</v>
      </c>
      <c r="F440" s="4" t="str">
        <f>TEXT(G440, "dddd")</f>
        <v>Sunday</v>
      </c>
      <c r="G440" s="3">
        <v>45116</v>
      </c>
      <c r="H440" s="4" t="s">
        <v>466</v>
      </c>
      <c r="I440" s="4" t="s">
        <v>16</v>
      </c>
      <c r="J440" s="4">
        <v>50</v>
      </c>
      <c r="K440" s="4" t="str" cm="1">
        <f t="array" ref="K440">_xlfn.IFS(J440&lt;30, "Young Adult", J440&lt;50, "Adult", J440&gt;=50, "Senior")</f>
        <v>Senior</v>
      </c>
      <c r="L440" s="4" t="s">
        <v>21</v>
      </c>
      <c r="M440" s="4">
        <v>3</v>
      </c>
      <c r="N440" s="5">
        <v>25</v>
      </c>
      <c r="O440">
        <f>M440*N440</f>
        <v>75</v>
      </c>
      <c r="P440" s="14">
        <f>O440*$S$3</f>
        <v>1.125</v>
      </c>
    </row>
    <row r="441" spans="1:16">
      <c r="A441" s="2">
        <v>440</v>
      </c>
      <c r="B441" s="4">
        <f>YEAR(G441)</f>
        <v>2023</v>
      </c>
      <c r="C441" s="4">
        <f>MONTH(G441)</f>
        <v>10</v>
      </c>
      <c r="D441" s="4">
        <f>DAY(G441)</f>
        <v>26</v>
      </c>
      <c r="E441" s="4" t="str">
        <f>TEXT(G441, "mmmm")</f>
        <v>October</v>
      </c>
      <c r="F441" s="4" t="str">
        <f>TEXT(G441, "dddd")</f>
        <v>Thursday</v>
      </c>
      <c r="G441" s="3">
        <v>45225</v>
      </c>
      <c r="H441" s="4" t="s">
        <v>467</v>
      </c>
      <c r="I441" s="4" t="s">
        <v>16</v>
      </c>
      <c r="J441" s="4">
        <v>64</v>
      </c>
      <c r="K441" s="4" t="str" cm="1">
        <f t="array" ref="K441">_xlfn.IFS(J441&lt;30, "Young Adult", J441&lt;50, "Adult", J441&gt;=50, "Senior")</f>
        <v>Senior</v>
      </c>
      <c r="L441" s="4" t="s">
        <v>21</v>
      </c>
      <c r="M441" s="4">
        <v>2</v>
      </c>
      <c r="N441" s="5">
        <v>300</v>
      </c>
      <c r="O441">
        <f>M441*N441</f>
        <v>600</v>
      </c>
      <c r="P441" s="14">
        <f>O441*$S$3</f>
        <v>9</v>
      </c>
    </row>
    <row r="442" spans="1:16">
      <c r="A442" s="2">
        <v>441</v>
      </c>
      <c r="B442" s="4">
        <f>YEAR(G442)</f>
        <v>2023</v>
      </c>
      <c r="C442" s="4">
        <f>MONTH(G442)</f>
        <v>10</v>
      </c>
      <c r="D442" s="4">
        <f>DAY(G442)</f>
        <v>10</v>
      </c>
      <c r="E442" s="4" t="str">
        <f>TEXT(G442, "mmmm")</f>
        <v>October</v>
      </c>
      <c r="F442" s="4" t="str">
        <f>TEXT(G442, "dddd")</f>
        <v>Tuesday</v>
      </c>
      <c r="G442" s="3">
        <v>45209</v>
      </c>
      <c r="H442" s="4" t="s">
        <v>468</v>
      </c>
      <c r="I442" s="4" t="s">
        <v>16</v>
      </c>
      <c r="J442" s="4">
        <v>57</v>
      </c>
      <c r="K442" s="4" t="str" cm="1">
        <f t="array" ref="K442">_xlfn.IFS(J442&lt;30, "Young Adult", J442&lt;50, "Adult", J442&gt;=50, "Senior")</f>
        <v>Senior</v>
      </c>
      <c r="L442" s="4" t="s">
        <v>17</v>
      </c>
      <c r="M442" s="4">
        <v>4</v>
      </c>
      <c r="N442" s="5">
        <v>300</v>
      </c>
      <c r="O442">
        <f>M442*N442</f>
        <v>1200</v>
      </c>
      <c r="P442" s="14">
        <f>O442*$S$3</f>
        <v>18</v>
      </c>
    </row>
    <row r="443" spans="1:16">
      <c r="A443" s="2">
        <v>442</v>
      </c>
      <c r="B443" s="4">
        <f>YEAR(G443)</f>
        <v>2023</v>
      </c>
      <c r="C443" s="4">
        <f>MONTH(G443)</f>
        <v>3</v>
      </c>
      <c r="D443" s="4">
        <f>DAY(G443)</f>
        <v>17</v>
      </c>
      <c r="E443" s="4" t="str">
        <f>TEXT(G443, "mmmm")</f>
        <v>March</v>
      </c>
      <c r="F443" s="4" t="str">
        <f>TEXT(G443, "dddd")</f>
        <v>Friday</v>
      </c>
      <c r="G443" s="3">
        <v>45002</v>
      </c>
      <c r="H443" s="4" t="s">
        <v>469</v>
      </c>
      <c r="I443" s="4" t="s">
        <v>20</v>
      </c>
      <c r="J443" s="4">
        <v>60</v>
      </c>
      <c r="K443" s="4" t="str" cm="1">
        <f t="array" ref="K443">_xlfn.IFS(J443&lt;30, "Young Adult", J443&lt;50, "Adult", J443&gt;=50, "Senior")</f>
        <v>Senior</v>
      </c>
      <c r="L443" s="4" t="s">
        <v>21</v>
      </c>
      <c r="M443" s="4">
        <v>4</v>
      </c>
      <c r="N443" s="5">
        <v>25</v>
      </c>
      <c r="O443">
        <f>M443*N443</f>
        <v>100</v>
      </c>
      <c r="P443" s="14">
        <f>O443*$S$3</f>
        <v>1.5</v>
      </c>
    </row>
    <row r="444" spans="1:16">
      <c r="A444" s="2">
        <v>443</v>
      </c>
      <c r="B444" s="4">
        <f>YEAR(G444)</f>
        <v>2023</v>
      </c>
      <c r="C444" s="4">
        <f>MONTH(G444)</f>
        <v>8</v>
      </c>
      <c r="D444" s="4">
        <f>DAY(G444)</f>
        <v>9</v>
      </c>
      <c r="E444" s="4" t="str">
        <f>TEXT(G444, "mmmm")</f>
        <v>August</v>
      </c>
      <c r="F444" s="4" t="str">
        <f>TEXT(G444, "dddd")</f>
        <v>Wednesday</v>
      </c>
      <c r="G444" s="3">
        <v>45147</v>
      </c>
      <c r="H444" s="4" t="s">
        <v>470</v>
      </c>
      <c r="I444" s="4" t="s">
        <v>16</v>
      </c>
      <c r="J444" s="4">
        <v>29</v>
      </c>
      <c r="K444" s="4" t="str" cm="1">
        <f t="array" ref="K444">_xlfn.IFS(J444&lt;30, "Young Adult", J444&lt;50, "Adult", J444&gt;=50, "Senior")</f>
        <v>Young Adult</v>
      </c>
      <c r="L444" s="4" t="s">
        <v>21</v>
      </c>
      <c r="M444" s="4">
        <v>2</v>
      </c>
      <c r="N444" s="5">
        <v>300</v>
      </c>
      <c r="O444">
        <f>M444*N444</f>
        <v>600</v>
      </c>
      <c r="P444" s="14">
        <f>O444*$S$3</f>
        <v>9</v>
      </c>
    </row>
    <row r="445" spans="1:16">
      <c r="A445" s="2">
        <v>444</v>
      </c>
      <c r="B445" s="4">
        <f>YEAR(G445)</f>
        <v>2023</v>
      </c>
      <c r="C445" s="4">
        <f>MONTH(G445)</f>
        <v>3</v>
      </c>
      <c r="D445" s="4">
        <f>DAY(G445)</f>
        <v>7</v>
      </c>
      <c r="E445" s="4" t="str">
        <f>TEXT(G445, "mmmm")</f>
        <v>March</v>
      </c>
      <c r="F445" s="4" t="str">
        <f>TEXT(G445, "dddd")</f>
        <v>Tuesday</v>
      </c>
      <c r="G445" s="3">
        <v>44992</v>
      </c>
      <c r="H445" s="4" t="s">
        <v>471</v>
      </c>
      <c r="I445" s="4" t="s">
        <v>20</v>
      </c>
      <c r="J445" s="4">
        <v>61</v>
      </c>
      <c r="K445" s="4" t="str" cm="1">
        <f t="array" ref="K445">_xlfn.IFS(J445&lt;30, "Young Adult", J445&lt;50, "Adult", J445&gt;=50, "Senior")</f>
        <v>Senior</v>
      </c>
      <c r="L445" s="4" t="s">
        <v>21</v>
      </c>
      <c r="M445" s="4">
        <v>3</v>
      </c>
      <c r="N445" s="5">
        <v>30</v>
      </c>
      <c r="O445">
        <f>M445*N445</f>
        <v>90</v>
      </c>
      <c r="P445" s="14">
        <f>O445*$S$3</f>
        <v>1.3499999999999999</v>
      </c>
    </row>
    <row r="446" spans="1:16">
      <c r="A446" s="2">
        <v>445</v>
      </c>
      <c r="B446" s="4">
        <f>YEAR(G446)</f>
        <v>2023</v>
      </c>
      <c r="C446" s="4">
        <f>MONTH(G446)</f>
        <v>1</v>
      </c>
      <c r="D446" s="4">
        <f>DAY(G446)</f>
        <v>22</v>
      </c>
      <c r="E446" s="4" t="str">
        <f>TEXT(G446, "mmmm")</f>
        <v>January</v>
      </c>
      <c r="F446" s="4" t="str">
        <f>TEXT(G446, "dddd")</f>
        <v>Sunday</v>
      </c>
      <c r="G446" s="3">
        <v>44948</v>
      </c>
      <c r="H446" s="4" t="s">
        <v>472</v>
      </c>
      <c r="I446" s="4" t="s">
        <v>20</v>
      </c>
      <c r="J446" s="4">
        <v>53</v>
      </c>
      <c r="K446" s="4" t="str" cm="1">
        <f t="array" ref="K446">_xlfn.IFS(J446&lt;30, "Young Adult", J446&lt;50, "Adult", J446&gt;=50, "Senior")</f>
        <v>Senior</v>
      </c>
      <c r="L446" s="4" t="s">
        <v>24</v>
      </c>
      <c r="M446" s="4">
        <v>1</v>
      </c>
      <c r="N446" s="5">
        <v>300</v>
      </c>
      <c r="O446">
        <f>M446*N446</f>
        <v>300</v>
      </c>
      <c r="P446" s="14">
        <f>O446*$S$3</f>
        <v>4.5</v>
      </c>
    </row>
    <row r="447" spans="1:16">
      <c r="A447" s="2">
        <v>446</v>
      </c>
      <c r="B447" s="4">
        <f>YEAR(G447)</f>
        <v>2023</v>
      </c>
      <c r="C447" s="4">
        <f>MONTH(G447)</f>
        <v>6</v>
      </c>
      <c r="D447" s="4">
        <f>DAY(G447)</f>
        <v>7</v>
      </c>
      <c r="E447" s="4" t="str">
        <f>TEXT(G447, "mmmm")</f>
        <v>June</v>
      </c>
      <c r="F447" s="4" t="str">
        <f>TEXT(G447, "dddd")</f>
        <v>Wednesday</v>
      </c>
      <c r="G447" s="3">
        <v>45084</v>
      </c>
      <c r="H447" s="4" t="s">
        <v>473</v>
      </c>
      <c r="I447" s="4" t="s">
        <v>16</v>
      </c>
      <c r="J447" s="4">
        <v>21</v>
      </c>
      <c r="K447" s="4" t="str" cm="1">
        <f t="array" ref="K447">_xlfn.IFS(J447&lt;30, "Young Adult", J447&lt;50, "Adult", J447&gt;=50, "Senior")</f>
        <v>Young Adult</v>
      </c>
      <c r="L447" s="4" t="s">
        <v>24</v>
      </c>
      <c r="M447" s="4">
        <v>1</v>
      </c>
      <c r="N447" s="5">
        <v>50</v>
      </c>
      <c r="O447">
        <f>M447*N447</f>
        <v>50</v>
      </c>
      <c r="P447" s="14">
        <f>O447*$S$3</f>
        <v>0.75</v>
      </c>
    </row>
    <row r="448" spans="1:16">
      <c r="A448" s="2">
        <v>447</v>
      </c>
      <c r="B448" s="4">
        <f>YEAR(G448)</f>
        <v>2023</v>
      </c>
      <c r="C448" s="4">
        <f>MONTH(G448)</f>
        <v>7</v>
      </c>
      <c r="D448" s="4">
        <f>DAY(G448)</f>
        <v>6</v>
      </c>
      <c r="E448" s="4" t="str">
        <f>TEXT(G448, "mmmm")</f>
        <v>July</v>
      </c>
      <c r="F448" s="4" t="str">
        <f>TEXT(G448, "dddd")</f>
        <v>Thursday</v>
      </c>
      <c r="G448" s="3">
        <v>45113</v>
      </c>
      <c r="H448" s="4" t="s">
        <v>474</v>
      </c>
      <c r="I448" s="4" t="s">
        <v>16</v>
      </c>
      <c r="J448" s="4">
        <v>22</v>
      </c>
      <c r="K448" s="4" t="str" cm="1">
        <f t="array" ref="K448">_xlfn.IFS(J448&lt;30, "Young Adult", J448&lt;50, "Adult", J448&gt;=50, "Senior")</f>
        <v>Young Adult</v>
      </c>
      <c r="L448" s="4" t="s">
        <v>17</v>
      </c>
      <c r="M448" s="4">
        <v>4</v>
      </c>
      <c r="N448" s="5">
        <v>500</v>
      </c>
      <c r="O448">
        <f>M448*N448</f>
        <v>2000</v>
      </c>
      <c r="P448" s="14">
        <f>O448*$S$3</f>
        <v>30</v>
      </c>
    </row>
    <row r="449" spans="1:16">
      <c r="A449" s="2">
        <v>448</v>
      </c>
      <c r="B449" s="4">
        <f>YEAR(G449)</f>
        <v>2023</v>
      </c>
      <c r="C449" s="4">
        <f>MONTH(G449)</f>
        <v>1</v>
      </c>
      <c r="D449" s="4">
        <f>DAY(G449)</f>
        <v>21</v>
      </c>
      <c r="E449" s="4" t="str">
        <f>TEXT(G449, "mmmm")</f>
        <v>January</v>
      </c>
      <c r="F449" s="4" t="str">
        <f>TEXT(G449, "dddd")</f>
        <v>Saturday</v>
      </c>
      <c r="G449" s="3">
        <v>44947</v>
      </c>
      <c r="H449" s="4" t="s">
        <v>475</v>
      </c>
      <c r="I449" s="4" t="s">
        <v>20</v>
      </c>
      <c r="J449" s="4">
        <v>54</v>
      </c>
      <c r="K449" s="4" t="str" cm="1">
        <f t="array" ref="K449">_xlfn.IFS(J449&lt;30, "Young Adult", J449&lt;50, "Adult", J449&gt;=50, "Senior")</f>
        <v>Senior</v>
      </c>
      <c r="L449" s="4" t="s">
        <v>17</v>
      </c>
      <c r="M449" s="4">
        <v>2</v>
      </c>
      <c r="N449" s="5">
        <v>30</v>
      </c>
      <c r="O449">
        <f>M449*N449</f>
        <v>60</v>
      </c>
      <c r="P449" s="14">
        <f>O449*$S$3</f>
        <v>0.89999999999999991</v>
      </c>
    </row>
    <row r="450" spans="1:16">
      <c r="A450" s="2">
        <v>449</v>
      </c>
      <c r="B450" s="4">
        <f>YEAR(G450)</f>
        <v>2023</v>
      </c>
      <c r="C450" s="4">
        <f>MONTH(G450)</f>
        <v>7</v>
      </c>
      <c r="D450" s="4">
        <f>DAY(G450)</f>
        <v>3</v>
      </c>
      <c r="E450" s="4" t="str">
        <f>TEXT(G450, "mmmm")</f>
        <v>July</v>
      </c>
      <c r="F450" s="4" t="str">
        <f>TEXT(G450, "dddd")</f>
        <v>Monday</v>
      </c>
      <c r="G450" s="3">
        <v>45110</v>
      </c>
      <c r="H450" s="4" t="s">
        <v>476</v>
      </c>
      <c r="I450" s="4" t="s">
        <v>16</v>
      </c>
      <c r="J450" s="4">
        <v>25</v>
      </c>
      <c r="K450" s="4" t="str" cm="1">
        <f t="array" ref="K450">_xlfn.IFS(J450&lt;30, "Young Adult", J450&lt;50, "Adult", J450&gt;=50, "Senior")</f>
        <v>Young Adult</v>
      </c>
      <c r="L450" s="4" t="s">
        <v>24</v>
      </c>
      <c r="M450" s="4">
        <v>4</v>
      </c>
      <c r="N450" s="5">
        <v>50</v>
      </c>
      <c r="O450">
        <f>M450*N450</f>
        <v>200</v>
      </c>
      <c r="P450" s="14">
        <f>O450*$S$3</f>
        <v>3</v>
      </c>
    </row>
    <row r="451" spans="1:16">
      <c r="A451" s="2">
        <v>450</v>
      </c>
      <c r="B451" s="4">
        <f>YEAR(G451)</f>
        <v>2023</v>
      </c>
      <c r="C451" s="4">
        <f>MONTH(G451)</f>
        <v>4</v>
      </c>
      <c r="D451" s="4">
        <f>DAY(G451)</f>
        <v>18</v>
      </c>
      <c r="E451" s="4" t="str">
        <f>TEXT(G451, "mmmm")</f>
        <v>April</v>
      </c>
      <c r="F451" s="4" t="str">
        <f>TEXT(G451, "dddd")</f>
        <v>Tuesday</v>
      </c>
      <c r="G451" s="3">
        <v>45034</v>
      </c>
      <c r="H451" s="4" t="s">
        <v>477</v>
      </c>
      <c r="I451" s="4" t="s">
        <v>20</v>
      </c>
      <c r="J451" s="4">
        <v>59</v>
      </c>
      <c r="K451" s="4" t="str" cm="1">
        <f t="array" ref="K451">_xlfn.IFS(J451&lt;30, "Young Adult", J451&lt;50, "Adult", J451&gt;=50, "Senior")</f>
        <v>Senior</v>
      </c>
      <c r="L451" s="4" t="s">
        <v>17</v>
      </c>
      <c r="M451" s="4">
        <v>2</v>
      </c>
      <c r="N451" s="5">
        <v>25</v>
      </c>
      <c r="O451">
        <f>M451*N451</f>
        <v>50</v>
      </c>
      <c r="P451" s="14">
        <f>O451*$S$3</f>
        <v>0.75</v>
      </c>
    </row>
    <row r="452" spans="1:16">
      <c r="A452" s="2">
        <v>451</v>
      </c>
      <c r="B452" s="4">
        <f>YEAR(G452)</f>
        <v>2023</v>
      </c>
      <c r="C452" s="4">
        <f>MONTH(G452)</f>
        <v>12</v>
      </c>
      <c r="D452" s="4">
        <f>DAY(G452)</f>
        <v>16</v>
      </c>
      <c r="E452" s="4" t="str">
        <f>TEXT(G452, "mmmm")</f>
        <v>December</v>
      </c>
      <c r="F452" s="4" t="str">
        <f>TEXT(G452, "dddd")</f>
        <v>Saturday</v>
      </c>
      <c r="G452" s="3">
        <v>45276</v>
      </c>
      <c r="H452" s="4" t="s">
        <v>478</v>
      </c>
      <c r="I452" s="4" t="s">
        <v>20</v>
      </c>
      <c r="J452" s="4">
        <v>45</v>
      </c>
      <c r="K452" s="4" t="str" cm="1">
        <f t="array" ref="K452">_xlfn.IFS(J452&lt;30, "Young Adult", J452&lt;50, "Adult", J452&gt;=50, "Senior")</f>
        <v>Adult</v>
      </c>
      <c r="L452" s="4" t="s">
        <v>24</v>
      </c>
      <c r="M452" s="4">
        <v>1</v>
      </c>
      <c r="N452" s="5">
        <v>30</v>
      </c>
      <c r="O452">
        <f>M452*N452</f>
        <v>30</v>
      </c>
      <c r="P452" s="14">
        <f>O452*$S$3</f>
        <v>0.44999999999999996</v>
      </c>
    </row>
    <row r="453" spans="1:16">
      <c r="A453" s="2">
        <v>452</v>
      </c>
      <c r="B453" s="4">
        <f>YEAR(G453)</f>
        <v>2023</v>
      </c>
      <c r="C453" s="4">
        <f>MONTH(G453)</f>
        <v>5</v>
      </c>
      <c r="D453" s="4">
        <f>DAY(G453)</f>
        <v>8</v>
      </c>
      <c r="E453" s="4" t="str">
        <f>TEXT(G453, "mmmm")</f>
        <v>May</v>
      </c>
      <c r="F453" s="4" t="str">
        <f>TEXT(G453, "dddd")</f>
        <v>Monday</v>
      </c>
      <c r="G453" s="3">
        <v>45054</v>
      </c>
      <c r="H453" s="4" t="s">
        <v>479</v>
      </c>
      <c r="I453" s="4" t="s">
        <v>20</v>
      </c>
      <c r="J453" s="4">
        <v>48</v>
      </c>
      <c r="K453" s="4" t="str" cm="1">
        <f t="array" ref="K453">_xlfn.IFS(J453&lt;30, "Young Adult", J453&lt;50, "Adult", J453&gt;=50, "Senior")</f>
        <v>Adult</v>
      </c>
      <c r="L453" s="4" t="s">
        <v>21</v>
      </c>
      <c r="M453" s="4">
        <v>3</v>
      </c>
      <c r="N453" s="5">
        <v>500</v>
      </c>
      <c r="O453">
        <f>M453*N453</f>
        <v>1500</v>
      </c>
      <c r="P453" s="14">
        <f>O453*$S$3</f>
        <v>22.5</v>
      </c>
    </row>
    <row r="454" spans="1:16">
      <c r="A454" s="2">
        <v>453</v>
      </c>
      <c r="B454" s="4">
        <f>YEAR(G454)</f>
        <v>2023</v>
      </c>
      <c r="C454" s="4">
        <f>MONTH(G454)</f>
        <v>12</v>
      </c>
      <c r="D454" s="4">
        <f>DAY(G454)</f>
        <v>8</v>
      </c>
      <c r="E454" s="4" t="str">
        <f>TEXT(G454, "mmmm")</f>
        <v>December</v>
      </c>
      <c r="F454" s="4" t="str">
        <f>TEXT(G454, "dddd")</f>
        <v>Friday</v>
      </c>
      <c r="G454" s="3">
        <v>45268</v>
      </c>
      <c r="H454" s="4" t="s">
        <v>480</v>
      </c>
      <c r="I454" s="4" t="s">
        <v>20</v>
      </c>
      <c r="J454" s="4">
        <v>26</v>
      </c>
      <c r="K454" s="4" t="str" cm="1">
        <f t="array" ref="K454">_xlfn.IFS(J454&lt;30, "Young Adult", J454&lt;50, "Adult", J454&gt;=50, "Senior")</f>
        <v>Young Adult</v>
      </c>
      <c r="L454" s="4" t="s">
        <v>21</v>
      </c>
      <c r="M454" s="4">
        <v>2</v>
      </c>
      <c r="N454" s="5">
        <v>500</v>
      </c>
      <c r="O454">
        <f>M454*N454</f>
        <v>1000</v>
      </c>
      <c r="P454" s="14">
        <f>O454*$S$3</f>
        <v>15</v>
      </c>
    </row>
    <row r="455" spans="1:16">
      <c r="A455" s="2">
        <v>454</v>
      </c>
      <c r="B455" s="4">
        <f>YEAR(G455)</f>
        <v>2023</v>
      </c>
      <c r="C455" s="4">
        <f>MONTH(G455)</f>
        <v>2</v>
      </c>
      <c r="D455" s="4">
        <f>DAY(G455)</f>
        <v>22</v>
      </c>
      <c r="E455" s="4" t="str">
        <f>TEXT(G455, "mmmm")</f>
        <v>February</v>
      </c>
      <c r="F455" s="4" t="str">
        <f>TEXT(G455, "dddd")</f>
        <v>Wednesday</v>
      </c>
      <c r="G455" s="3">
        <v>44979</v>
      </c>
      <c r="H455" s="4" t="s">
        <v>481</v>
      </c>
      <c r="I455" s="4" t="s">
        <v>20</v>
      </c>
      <c r="J455" s="4">
        <v>46</v>
      </c>
      <c r="K455" s="4" t="str" cm="1">
        <f t="array" ref="K455">_xlfn.IFS(J455&lt;30, "Young Adult", J455&lt;50, "Adult", J455&gt;=50, "Senior")</f>
        <v>Adult</v>
      </c>
      <c r="L455" s="4" t="s">
        <v>17</v>
      </c>
      <c r="M455" s="4">
        <v>1</v>
      </c>
      <c r="N455" s="5">
        <v>25</v>
      </c>
      <c r="O455">
        <f>M455*N455</f>
        <v>25</v>
      </c>
      <c r="P455" s="14">
        <f>O455*$S$3</f>
        <v>0.375</v>
      </c>
    </row>
    <row r="456" spans="1:16">
      <c r="A456" s="2">
        <v>455</v>
      </c>
      <c r="B456" s="4">
        <f>YEAR(G456)</f>
        <v>2023</v>
      </c>
      <c r="C456" s="4">
        <f>MONTH(G456)</f>
        <v>7</v>
      </c>
      <c r="D456" s="4">
        <f>DAY(G456)</f>
        <v>1</v>
      </c>
      <c r="E456" s="4" t="str">
        <f>TEXT(G456, "mmmm")</f>
        <v>July</v>
      </c>
      <c r="F456" s="4" t="str">
        <f>TEXT(G456, "dddd")</f>
        <v>Saturday</v>
      </c>
      <c r="G456" s="3">
        <v>45108</v>
      </c>
      <c r="H456" s="4" t="s">
        <v>482</v>
      </c>
      <c r="I456" s="4" t="s">
        <v>16</v>
      </c>
      <c r="J456" s="4">
        <v>31</v>
      </c>
      <c r="K456" s="4" t="str" cm="1">
        <f t="array" ref="K456">_xlfn.IFS(J456&lt;30, "Young Adult", J456&lt;50, "Adult", J456&gt;=50, "Senior")</f>
        <v>Adult</v>
      </c>
      <c r="L456" s="4" t="s">
        <v>24</v>
      </c>
      <c r="M456" s="4">
        <v>4</v>
      </c>
      <c r="N456" s="5">
        <v>25</v>
      </c>
      <c r="O456">
        <f>M456*N456</f>
        <v>100</v>
      </c>
      <c r="P456" s="14">
        <f>O456*$S$3</f>
        <v>1.5</v>
      </c>
    </row>
    <row r="457" spans="1:16">
      <c r="A457" s="2">
        <v>456</v>
      </c>
      <c r="B457" s="4">
        <f>YEAR(G457)</f>
        <v>2023</v>
      </c>
      <c r="C457" s="4">
        <f>MONTH(G457)</f>
        <v>10</v>
      </c>
      <c r="D457" s="4">
        <f>DAY(G457)</f>
        <v>14</v>
      </c>
      <c r="E457" s="4" t="str">
        <f>TEXT(G457, "mmmm")</f>
        <v>October</v>
      </c>
      <c r="F457" s="4" t="str">
        <f>TEXT(G457, "dddd")</f>
        <v>Saturday</v>
      </c>
      <c r="G457" s="3">
        <v>45213</v>
      </c>
      <c r="H457" s="4" t="s">
        <v>483</v>
      </c>
      <c r="I457" s="4" t="s">
        <v>16</v>
      </c>
      <c r="J457" s="4">
        <v>57</v>
      </c>
      <c r="K457" s="4" t="str" cm="1">
        <f t="array" ref="K457">_xlfn.IFS(J457&lt;30, "Young Adult", J457&lt;50, "Adult", J457&gt;=50, "Senior")</f>
        <v>Senior</v>
      </c>
      <c r="L457" s="4" t="s">
        <v>24</v>
      </c>
      <c r="M457" s="4">
        <v>2</v>
      </c>
      <c r="N457" s="5">
        <v>30</v>
      </c>
      <c r="O457">
        <f>M457*N457</f>
        <v>60</v>
      </c>
      <c r="P457" s="14">
        <f>O457*$S$3</f>
        <v>0.89999999999999991</v>
      </c>
    </row>
    <row r="458" spans="1:16">
      <c r="A458" s="2">
        <v>457</v>
      </c>
      <c r="B458" s="4">
        <f>YEAR(G458)</f>
        <v>2023</v>
      </c>
      <c r="C458" s="4">
        <f>MONTH(G458)</f>
        <v>7</v>
      </c>
      <c r="D458" s="4">
        <f>DAY(G458)</f>
        <v>28</v>
      </c>
      <c r="E458" s="4" t="str">
        <f>TEXT(G458, "mmmm")</f>
        <v>July</v>
      </c>
      <c r="F458" s="4" t="str">
        <f>TEXT(G458, "dddd")</f>
        <v>Friday</v>
      </c>
      <c r="G458" s="3">
        <v>45135</v>
      </c>
      <c r="H458" s="4" t="s">
        <v>484</v>
      </c>
      <c r="I458" s="4" t="s">
        <v>20</v>
      </c>
      <c r="J458" s="4">
        <v>58</v>
      </c>
      <c r="K458" s="4" t="str" cm="1">
        <f t="array" ref="K458">_xlfn.IFS(J458&lt;30, "Young Adult", J458&lt;50, "Adult", J458&gt;=50, "Senior")</f>
        <v>Senior</v>
      </c>
      <c r="L458" s="4" t="s">
        <v>17</v>
      </c>
      <c r="M458" s="4">
        <v>3</v>
      </c>
      <c r="N458" s="5">
        <v>300</v>
      </c>
      <c r="O458">
        <f>M458*N458</f>
        <v>900</v>
      </c>
      <c r="P458" s="14">
        <f>O458*$S$3</f>
        <v>13.5</v>
      </c>
    </row>
    <row r="459" spans="1:16">
      <c r="A459" s="2">
        <v>458</v>
      </c>
      <c r="B459" s="4">
        <f>YEAR(G459)</f>
        <v>2023</v>
      </c>
      <c r="C459" s="4">
        <f>MONTH(G459)</f>
        <v>11</v>
      </c>
      <c r="D459" s="4">
        <f>DAY(G459)</f>
        <v>14</v>
      </c>
      <c r="E459" s="4" t="str">
        <f>TEXT(G459, "mmmm")</f>
        <v>November</v>
      </c>
      <c r="F459" s="4" t="str">
        <f>TEXT(G459, "dddd")</f>
        <v>Tuesday</v>
      </c>
      <c r="G459" s="3">
        <v>45244</v>
      </c>
      <c r="H459" s="4" t="s">
        <v>485</v>
      </c>
      <c r="I459" s="4" t="s">
        <v>20</v>
      </c>
      <c r="J459" s="4">
        <v>39</v>
      </c>
      <c r="K459" s="4" t="str" cm="1">
        <f t="array" ref="K459">_xlfn.IFS(J459&lt;30, "Young Adult", J459&lt;50, "Adult", J459&gt;=50, "Senior")</f>
        <v>Adult</v>
      </c>
      <c r="L459" s="4" t="s">
        <v>24</v>
      </c>
      <c r="M459" s="4">
        <v>4</v>
      </c>
      <c r="N459" s="5">
        <v>25</v>
      </c>
      <c r="O459">
        <f>M459*N459</f>
        <v>100</v>
      </c>
      <c r="P459" s="14">
        <f>O459*$S$3</f>
        <v>1.5</v>
      </c>
    </row>
    <row r="460" spans="1:16">
      <c r="A460" s="2">
        <v>459</v>
      </c>
      <c r="B460" s="4">
        <f>YEAR(G460)</f>
        <v>2023</v>
      </c>
      <c r="C460" s="4">
        <f>MONTH(G460)</f>
        <v>3</v>
      </c>
      <c r="D460" s="4">
        <f>DAY(G460)</f>
        <v>21</v>
      </c>
      <c r="E460" s="4" t="str">
        <f>TEXT(G460, "mmmm")</f>
        <v>March</v>
      </c>
      <c r="F460" s="4" t="str">
        <f>TEXT(G460, "dddd")</f>
        <v>Tuesday</v>
      </c>
      <c r="G460" s="3">
        <v>45006</v>
      </c>
      <c r="H460" s="4" t="s">
        <v>486</v>
      </c>
      <c r="I460" s="4" t="s">
        <v>16</v>
      </c>
      <c r="J460" s="4">
        <v>28</v>
      </c>
      <c r="K460" s="4" t="str" cm="1">
        <f t="array" ref="K460">_xlfn.IFS(J460&lt;30, "Young Adult", J460&lt;50, "Adult", J460&gt;=50, "Senior")</f>
        <v>Young Adult</v>
      </c>
      <c r="L460" s="4" t="s">
        <v>21</v>
      </c>
      <c r="M460" s="4">
        <v>4</v>
      </c>
      <c r="N460" s="5">
        <v>300</v>
      </c>
      <c r="O460">
        <f>M460*N460</f>
        <v>1200</v>
      </c>
      <c r="P460" s="14">
        <f>O460*$S$3</f>
        <v>18</v>
      </c>
    </row>
    <row r="461" spans="1:16">
      <c r="A461" s="2">
        <v>460</v>
      </c>
      <c r="B461" s="4">
        <f>YEAR(G461)</f>
        <v>2023</v>
      </c>
      <c r="C461" s="4">
        <f>MONTH(G461)</f>
        <v>5</v>
      </c>
      <c r="D461" s="4">
        <f>DAY(G461)</f>
        <v>2</v>
      </c>
      <c r="E461" s="4" t="str">
        <f>TEXT(G461, "mmmm")</f>
        <v>May</v>
      </c>
      <c r="F461" s="4" t="str">
        <f>TEXT(G461, "dddd")</f>
        <v>Tuesday</v>
      </c>
      <c r="G461" s="3">
        <v>45048</v>
      </c>
      <c r="H461" s="4" t="s">
        <v>487</v>
      </c>
      <c r="I461" s="4" t="s">
        <v>16</v>
      </c>
      <c r="J461" s="4">
        <v>40</v>
      </c>
      <c r="K461" s="4" t="str" cm="1">
        <f t="array" ref="K461">_xlfn.IFS(J461&lt;30, "Young Adult", J461&lt;50, "Adult", J461&gt;=50, "Senior")</f>
        <v>Adult</v>
      </c>
      <c r="L461" s="4" t="s">
        <v>17</v>
      </c>
      <c r="M461" s="4">
        <v>1</v>
      </c>
      <c r="N461" s="5">
        <v>50</v>
      </c>
      <c r="O461">
        <f>M461*N461</f>
        <v>50</v>
      </c>
      <c r="P461" s="14">
        <f>O461*$S$3</f>
        <v>0.75</v>
      </c>
    </row>
    <row r="462" spans="1:16">
      <c r="A462" s="2">
        <v>461</v>
      </c>
      <c r="B462" s="4">
        <f>YEAR(G462)</f>
        <v>2023</v>
      </c>
      <c r="C462" s="4">
        <f>MONTH(G462)</f>
        <v>3</v>
      </c>
      <c r="D462" s="4">
        <f>DAY(G462)</f>
        <v>25</v>
      </c>
      <c r="E462" s="4" t="str">
        <f>TEXT(G462, "mmmm")</f>
        <v>March</v>
      </c>
      <c r="F462" s="4" t="str">
        <f>TEXT(G462, "dddd")</f>
        <v>Saturday</v>
      </c>
      <c r="G462" s="3">
        <v>45010</v>
      </c>
      <c r="H462" s="4" t="s">
        <v>488</v>
      </c>
      <c r="I462" s="4" t="s">
        <v>20</v>
      </c>
      <c r="J462" s="4">
        <v>18</v>
      </c>
      <c r="K462" s="4" t="str" cm="1">
        <f t="array" ref="K462">_xlfn.IFS(J462&lt;30, "Young Adult", J462&lt;50, "Adult", J462&gt;=50, "Senior")</f>
        <v>Young Adult</v>
      </c>
      <c r="L462" s="4" t="s">
        <v>17</v>
      </c>
      <c r="M462" s="4">
        <v>2</v>
      </c>
      <c r="N462" s="5">
        <v>500</v>
      </c>
      <c r="O462">
        <f>M462*N462</f>
        <v>1000</v>
      </c>
      <c r="P462" s="14">
        <f>O462*$S$3</f>
        <v>15</v>
      </c>
    </row>
    <row r="463" spans="1:16">
      <c r="A463" s="2">
        <v>462</v>
      </c>
      <c r="B463" s="4">
        <f>YEAR(G463)</f>
        <v>2023</v>
      </c>
      <c r="C463" s="4">
        <f>MONTH(G463)</f>
        <v>4</v>
      </c>
      <c r="D463" s="4">
        <f>DAY(G463)</f>
        <v>1</v>
      </c>
      <c r="E463" s="4" t="str">
        <f>TEXT(G463, "mmmm")</f>
        <v>April</v>
      </c>
      <c r="F463" s="4" t="str">
        <f>TEXT(G463, "dddd")</f>
        <v>Saturday</v>
      </c>
      <c r="G463" s="3">
        <v>45017</v>
      </c>
      <c r="H463" s="4" t="s">
        <v>489</v>
      </c>
      <c r="I463" s="4" t="s">
        <v>16</v>
      </c>
      <c r="J463" s="4">
        <v>63</v>
      </c>
      <c r="K463" s="4" t="str" cm="1">
        <f t="array" ref="K463">_xlfn.IFS(J463&lt;30, "Young Adult", J463&lt;50, "Adult", J463&gt;=50, "Senior")</f>
        <v>Senior</v>
      </c>
      <c r="L463" s="4" t="s">
        <v>24</v>
      </c>
      <c r="M463" s="4">
        <v>4</v>
      </c>
      <c r="N463" s="5">
        <v>300</v>
      </c>
      <c r="O463">
        <f>M463*N463</f>
        <v>1200</v>
      </c>
      <c r="P463" s="14">
        <f>O463*$S$3</f>
        <v>18</v>
      </c>
    </row>
    <row r="464" spans="1:16">
      <c r="A464" s="2">
        <v>463</v>
      </c>
      <c r="B464" s="4">
        <f>YEAR(G464)</f>
        <v>2023</v>
      </c>
      <c r="C464" s="4">
        <f>MONTH(G464)</f>
        <v>7</v>
      </c>
      <c r="D464" s="4">
        <f>DAY(G464)</f>
        <v>31</v>
      </c>
      <c r="E464" s="4" t="str">
        <f>TEXT(G464, "mmmm")</f>
        <v>July</v>
      </c>
      <c r="F464" s="4" t="str">
        <f>TEXT(G464, "dddd")</f>
        <v>Monday</v>
      </c>
      <c r="G464" s="3">
        <v>45138</v>
      </c>
      <c r="H464" s="4" t="s">
        <v>490</v>
      </c>
      <c r="I464" s="4" t="s">
        <v>20</v>
      </c>
      <c r="J464" s="4">
        <v>54</v>
      </c>
      <c r="K464" s="4" t="str" cm="1">
        <f t="array" ref="K464">_xlfn.IFS(J464&lt;30, "Young Adult", J464&lt;50, "Adult", J464&gt;=50, "Senior")</f>
        <v>Senior</v>
      </c>
      <c r="L464" s="4" t="s">
        <v>17</v>
      </c>
      <c r="M464" s="4">
        <v>3</v>
      </c>
      <c r="N464" s="5">
        <v>500</v>
      </c>
      <c r="O464">
        <f>M464*N464</f>
        <v>1500</v>
      </c>
      <c r="P464" s="14">
        <f>O464*$S$3</f>
        <v>22.5</v>
      </c>
    </row>
    <row r="465" spans="1:16">
      <c r="A465" s="2">
        <v>464</v>
      </c>
      <c r="B465" s="4">
        <f>YEAR(G465)</f>
        <v>2023</v>
      </c>
      <c r="C465" s="4">
        <f>MONTH(G465)</f>
        <v>1</v>
      </c>
      <c r="D465" s="4">
        <f>DAY(G465)</f>
        <v>13</v>
      </c>
      <c r="E465" s="4" t="str">
        <f>TEXT(G465, "mmmm")</f>
        <v>January</v>
      </c>
      <c r="F465" s="4" t="str">
        <f>TEXT(G465, "dddd")</f>
        <v>Friday</v>
      </c>
      <c r="G465" s="3">
        <v>44939</v>
      </c>
      <c r="H465" s="4" t="s">
        <v>491</v>
      </c>
      <c r="I465" s="4" t="s">
        <v>16</v>
      </c>
      <c r="J465" s="4">
        <v>38</v>
      </c>
      <c r="K465" s="4" t="str" cm="1">
        <f t="array" ref="K465">_xlfn.IFS(J465&lt;30, "Young Adult", J465&lt;50, "Adult", J465&gt;=50, "Senior")</f>
        <v>Adult</v>
      </c>
      <c r="L465" s="4" t="s">
        <v>24</v>
      </c>
      <c r="M465" s="4">
        <v>2</v>
      </c>
      <c r="N465" s="5">
        <v>300</v>
      </c>
      <c r="O465">
        <f>M465*N465</f>
        <v>600</v>
      </c>
      <c r="P465" s="14">
        <f>O465*$S$3</f>
        <v>9</v>
      </c>
    </row>
    <row r="466" spans="1:16">
      <c r="A466" s="2">
        <v>465</v>
      </c>
      <c r="B466" s="4">
        <f>YEAR(G466)</f>
        <v>2023</v>
      </c>
      <c r="C466" s="4">
        <f>MONTH(G466)</f>
        <v>4</v>
      </c>
      <c r="D466" s="4">
        <f>DAY(G466)</f>
        <v>2</v>
      </c>
      <c r="E466" s="4" t="str">
        <f>TEXT(G466, "mmmm")</f>
        <v>April</v>
      </c>
      <c r="F466" s="4" t="str">
        <f>TEXT(G466, "dddd")</f>
        <v>Sunday</v>
      </c>
      <c r="G466" s="3">
        <v>45018</v>
      </c>
      <c r="H466" s="4" t="s">
        <v>492</v>
      </c>
      <c r="I466" s="4" t="s">
        <v>20</v>
      </c>
      <c r="J466" s="4">
        <v>43</v>
      </c>
      <c r="K466" s="4" t="str" cm="1">
        <f t="array" ref="K466">_xlfn.IFS(J466&lt;30, "Young Adult", J466&lt;50, "Adult", J466&gt;=50, "Senior")</f>
        <v>Adult</v>
      </c>
      <c r="L466" s="4" t="s">
        <v>24</v>
      </c>
      <c r="M466" s="4">
        <v>3</v>
      </c>
      <c r="N466" s="5">
        <v>50</v>
      </c>
      <c r="O466">
        <f>M466*N466</f>
        <v>150</v>
      </c>
      <c r="P466" s="14">
        <f>O466*$S$3</f>
        <v>2.25</v>
      </c>
    </row>
    <row r="467" spans="1:16">
      <c r="A467" s="2">
        <v>466</v>
      </c>
      <c r="B467" s="4">
        <f>YEAR(G467)</f>
        <v>2023</v>
      </c>
      <c r="C467" s="4">
        <f>MONTH(G467)</f>
        <v>6</v>
      </c>
      <c r="D467" s="4">
        <f>DAY(G467)</f>
        <v>20</v>
      </c>
      <c r="E467" s="4" t="str">
        <f>TEXT(G467, "mmmm")</f>
        <v>June</v>
      </c>
      <c r="F467" s="4" t="str">
        <f>TEXT(G467, "dddd")</f>
        <v>Tuesday</v>
      </c>
      <c r="G467" s="3">
        <v>45097</v>
      </c>
      <c r="H467" s="4" t="s">
        <v>493</v>
      </c>
      <c r="I467" s="4" t="s">
        <v>16</v>
      </c>
      <c r="J467" s="4">
        <v>63</v>
      </c>
      <c r="K467" s="4" t="str" cm="1">
        <f t="array" ref="K467">_xlfn.IFS(J467&lt;30, "Young Adult", J467&lt;50, "Adult", J467&gt;=50, "Senior")</f>
        <v>Senior</v>
      </c>
      <c r="L467" s="4" t="s">
        <v>24</v>
      </c>
      <c r="M467" s="4">
        <v>4</v>
      </c>
      <c r="N467" s="5">
        <v>25</v>
      </c>
      <c r="O467">
        <f>M467*N467</f>
        <v>100</v>
      </c>
      <c r="P467" s="14">
        <f>O467*$S$3</f>
        <v>1.5</v>
      </c>
    </row>
    <row r="468" spans="1:16">
      <c r="A468" s="2">
        <v>467</v>
      </c>
      <c r="B468" s="4">
        <f>YEAR(G468)</f>
        <v>2023</v>
      </c>
      <c r="C468" s="4">
        <f>MONTH(G468)</f>
        <v>7</v>
      </c>
      <c r="D468" s="4">
        <f>DAY(G468)</f>
        <v>30</v>
      </c>
      <c r="E468" s="4" t="str">
        <f>TEXT(G468, "mmmm")</f>
        <v>July</v>
      </c>
      <c r="F468" s="4" t="str">
        <f>TEXT(G468, "dddd")</f>
        <v>Sunday</v>
      </c>
      <c r="G468" s="3">
        <v>45137</v>
      </c>
      <c r="H468" s="4" t="s">
        <v>494</v>
      </c>
      <c r="I468" s="4" t="s">
        <v>20</v>
      </c>
      <c r="J468" s="4">
        <v>53</v>
      </c>
      <c r="K468" s="4" t="str" cm="1">
        <f t="array" ref="K468">_xlfn.IFS(J468&lt;30, "Young Adult", J468&lt;50, "Adult", J468&gt;=50, "Senior")</f>
        <v>Senior</v>
      </c>
      <c r="L468" s="4" t="s">
        <v>24</v>
      </c>
      <c r="M468" s="4">
        <v>3</v>
      </c>
      <c r="N468" s="5">
        <v>50</v>
      </c>
      <c r="O468">
        <f>M468*N468</f>
        <v>150</v>
      </c>
      <c r="P468" s="14">
        <f>O468*$S$3</f>
        <v>2.25</v>
      </c>
    </row>
    <row r="469" spans="1:16">
      <c r="A469" s="2">
        <v>468</v>
      </c>
      <c r="B469" s="4">
        <f>YEAR(G469)</f>
        <v>2023</v>
      </c>
      <c r="C469" s="4">
        <f>MONTH(G469)</f>
        <v>12</v>
      </c>
      <c r="D469" s="4">
        <f>DAY(G469)</f>
        <v>9</v>
      </c>
      <c r="E469" s="4" t="str">
        <f>TEXT(G469, "mmmm")</f>
        <v>December</v>
      </c>
      <c r="F469" s="4" t="str">
        <f>TEXT(G469, "dddd")</f>
        <v>Saturday</v>
      </c>
      <c r="G469" s="3">
        <v>45269</v>
      </c>
      <c r="H469" s="4" t="s">
        <v>495</v>
      </c>
      <c r="I469" s="4" t="s">
        <v>16</v>
      </c>
      <c r="J469" s="4">
        <v>40</v>
      </c>
      <c r="K469" s="4" t="str" cm="1">
        <f t="array" ref="K469">_xlfn.IFS(J469&lt;30, "Young Adult", J469&lt;50, "Adult", J469&gt;=50, "Senior")</f>
        <v>Adult</v>
      </c>
      <c r="L469" s="4" t="s">
        <v>24</v>
      </c>
      <c r="M469" s="4">
        <v>1</v>
      </c>
      <c r="N469" s="5">
        <v>25</v>
      </c>
      <c r="O469">
        <f>M469*N469</f>
        <v>25</v>
      </c>
      <c r="P469" s="14">
        <f>O469*$S$3</f>
        <v>0.375</v>
      </c>
    </row>
    <row r="470" spans="1:16">
      <c r="A470" s="2">
        <v>469</v>
      </c>
      <c r="B470" s="4">
        <f>YEAR(G470)</f>
        <v>2023</v>
      </c>
      <c r="C470" s="4">
        <f>MONTH(G470)</f>
        <v>5</v>
      </c>
      <c r="D470" s="4">
        <f>DAY(G470)</f>
        <v>8</v>
      </c>
      <c r="E470" s="4" t="str">
        <f>TEXT(G470, "mmmm")</f>
        <v>May</v>
      </c>
      <c r="F470" s="4" t="str">
        <f>TEXT(G470, "dddd")</f>
        <v>Monday</v>
      </c>
      <c r="G470" s="3">
        <v>45054</v>
      </c>
      <c r="H470" s="4" t="s">
        <v>496</v>
      </c>
      <c r="I470" s="4" t="s">
        <v>16</v>
      </c>
      <c r="J470" s="4">
        <v>18</v>
      </c>
      <c r="K470" s="4" t="str" cm="1">
        <f t="array" ref="K470">_xlfn.IFS(J470&lt;30, "Young Adult", J470&lt;50, "Adult", J470&gt;=50, "Senior")</f>
        <v>Young Adult</v>
      </c>
      <c r="L470" s="4" t="s">
        <v>17</v>
      </c>
      <c r="M470" s="4">
        <v>3</v>
      </c>
      <c r="N470" s="5">
        <v>25</v>
      </c>
      <c r="O470">
        <f>M470*N470</f>
        <v>75</v>
      </c>
      <c r="P470" s="14">
        <f>O470*$S$3</f>
        <v>1.125</v>
      </c>
    </row>
    <row r="471" spans="1:16">
      <c r="A471" s="2">
        <v>470</v>
      </c>
      <c r="B471" s="4">
        <f>YEAR(G471)</f>
        <v>2023</v>
      </c>
      <c r="C471" s="4">
        <f>MONTH(G471)</f>
        <v>5</v>
      </c>
      <c r="D471" s="4">
        <f>DAY(G471)</f>
        <v>17</v>
      </c>
      <c r="E471" s="4" t="str">
        <f>TEXT(G471, "mmmm")</f>
        <v>May</v>
      </c>
      <c r="F471" s="4" t="str">
        <f>TEXT(G471, "dddd")</f>
        <v>Wednesday</v>
      </c>
      <c r="G471" s="3">
        <v>45063</v>
      </c>
      <c r="H471" s="4" t="s">
        <v>497</v>
      </c>
      <c r="I471" s="4" t="s">
        <v>20</v>
      </c>
      <c r="J471" s="4">
        <v>57</v>
      </c>
      <c r="K471" s="4" t="str" cm="1">
        <f t="array" ref="K471">_xlfn.IFS(J471&lt;30, "Young Adult", J471&lt;50, "Adult", J471&gt;=50, "Senior")</f>
        <v>Senior</v>
      </c>
      <c r="L471" s="4" t="s">
        <v>21</v>
      </c>
      <c r="M471" s="4">
        <v>2</v>
      </c>
      <c r="N471" s="5">
        <v>500</v>
      </c>
      <c r="O471">
        <f>M471*N471</f>
        <v>1000</v>
      </c>
      <c r="P471" s="14">
        <f>O471*$S$3</f>
        <v>15</v>
      </c>
    </row>
    <row r="472" spans="1:16">
      <c r="A472" s="2">
        <v>471</v>
      </c>
      <c r="B472" s="4">
        <f>YEAR(G472)</f>
        <v>2023</v>
      </c>
      <c r="C472" s="4">
        <f>MONTH(G472)</f>
        <v>3</v>
      </c>
      <c r="D472" s="4">
        <f>DAY(G472)</f>
        <v>23</v>
      </c>
      <c r="E472" s="4" t="str">
        <f>TEXT(G472, "mmmm")</f>
        <v>March</v>
      </c>
      <c r="F472" s="4" t="str">
        <f>TEXT(G472, "dddd")</f>
        <v>Thursday</v>
      </c>
      <c r="G472" s="3">
        <v>45008</v>
      </c>
      <c r="H472" s="4" t="s">
        <v>498</v>
      </c>
      <c r="I472" s="4" t="s">
        <v>16</v>
      </c>
      <c r="J472" s="4">
        <v>32</v>
      </c>
      <c r="K472" s="4" t="str" cm="1">
        <f t="array" ref="K472">_xlfn.IFS(J472&lt;30, "Young Adult", J472&lt;50, "Adult", J472&gt;=50, "Senior")</f>
        <v>Adult</v>
      </c>
      <c r="L472" s="4" t="s">
        <v>21</v>
      </c>
      <c r="M472" s="4">
        <v>3</v>
      </c>
      <c r="N472" s="5">
        <v>50</v>
      </c>
      <c r="O472">
        <f>M472*N472</f>
        <v>150</v>
      </c>
      <c r="P472" s="14">
        <f>O472*$S$3</f>
        <v>2.25</v>
      </c>
    </row>
    <row r="473" spans="1:16">
      <c r="A473" s="2">
        <v>472</v>
      </c>
      <c r="B473" s="4">
        <f>YEAR(G473)</f>
        <v>2023</v>
      </c>
      <c r="C473" s="4">
        <f>MONTH(G473)</f>
        <v>12</v>
      </c>
      <c r="D473" s="4">
        <f>DAY(G473)</f>
        <v>26</v>
      </c>
      <c r="E473" s="4" t="str">
        <f>TEXT(G473, "mmmm")</f>
        <v>December</v>
      </c>
      <c r="F473" s="4" t="str">
        <f>TEXT(G473, "dddd")</f>
        <v>Tuesday</v>
      </c>
      <c r="G473" s="3">
        <v>45286</v>
      </c>
      <c r="H473" s="4" t="s">
        <v>499</v>
      </c>
      <c r="I473" s="4" t="s">
        <v>20</v>
      </c>
      <c r="J473" s="4">
        <v>38</v>
      </c>
      <c r="K473" s="4" t="str" cm="1">
        <f t="array" ref="K473">_xlfn.IFS(J473&lt;30, "Young Adult", J473&lt;50, "Adult", J473&gt;=50, "Senior")</f>
        <v>Adult</v>
      </c>
      <c r="L473" s="4" t="s">
        <v>17</v>
      </c>
      <c r="M473" s="4">
        <v>3</v>
      </c>
      <c r="N473" s="5">
        <v>300</v>
      </c>
      <c r="O473">
        <f>M473*N473</f>
        <v>900</v>
      </c>
      <c r="P473" s="14">
        <f>O473*$S$3</f>
        <v>13.5</v>
      </c>
    </row>
    <row r="474" spans="1:16">
      <c r="A474" s="2">
        <v>473</v>
      </c>
      <c r="B474" s="4">
        <f>YEAR(G474)</f>
        <v>2023</v>
      </c>
      <c r="C474" s="4">
        <f>MONTH(G474)</f>
        <v>2</v>
      </c>
      <c r="D474" s="4">
        <f>DAY(G474)</f>
        <v>25</v>
      </c>
      <c r="E474" s="4" t="str">
        <f>TEXT(G474, "mmmm")</f>
        <v>February</v>
      </c>
      <c r="F474" s="4" t="str">
        <f>TEXT(G474, "dddd")</f>
        <v>Saturday</v>
      </c>
      <c r="G474" s="3">
        <v>44982</v>
      </c>
      <c r="H474" s="4" t="s">
        <v>500</v>
      </c>
      <c r="I474" s="4" t="s">
        <v>16</v>
      </c>
      <c r="J474" s="4">
        <v>64</v>
      </c>
      <c r="K474" s="4" t="str" cm="1">
        <f t="array" ref="K474">_xlfn.IFS(J474&lt;30, "Young Adult", J474&lt;50, "Adult", J474&gt;=50, "Senior")</f>
        <v>Senior</v>
      </c>
      <c r="L474" s="4" t="s">
        <v>17</v>
      </c>
      <c r="M474" s="4">
        <v>1</v>
      </c>
      <c r="N474" s="5">
        <v>50</v>
      </c>
      <c r="O474">
        <f>M474*N474</f>
        <v>50</v>
      </c>
      <c r="P474" s="14">
        <f>O474*$S$3</f>
        <v>0.75</v>
      </c>
    </row>
    <row r="475" spans="1:16">
      <c r="A475" s="2">
        <v>474</v>
      </c>
      <c r="B475" s="4">
        <f>YEAR(G475)</f>
        <v>2023</v>
      </c>
      <c r="C475" s="4">
        <f>MONTH(G475)</f>
        <v>7</v>
      </c>
      <c r="D475" s="4">
        <f>DAY(G475)</f>
        <v>15</v>
      </c>
      <c r="E475" s="4" t="str">
        <f>TEXT(G475, "mmmm")</f>
        <v>July</v>
      </c>
      <c r="F475" s="4" t="str">
        <f>TEXT(G475, "dddd")</f>
        <v>Saturday</v>
      </c>
      <c r="G475" s="3">
        <v>45122</v>
      </c>
      <c r="H475" s="4" t="s">
        <v>501</v>
      </c>
      <c r="I475" s="4" t="s">
        <v>20</v>
      </c>
      <c r="J475" s="4">
        <v>26</v>
      </c>
      <c r="K475" s="4" t="str" cm="1">
        <f t="array" ref="K475">_xlfn.IFS(J475&lt;30, "Young Adult", J475&lt;50, "Adult", J475&gt;=50, "Senior")</f>
        <v>Young Adult</v>
      </c>
      <c r="L475" s="4" t="s">
        <v>21</v>
      </c>
      <c r="M475" s="4">
        <v>3</v>
      </c>
      <c r="N475" s="5">
        <v>500</v>
      </c>
      <c r="O475">
        <f>M475*N475</f>
        <v>1500</v>
      </c>
      <c r="P475" s="14">
        <f>O475*$S$3</f>
        <v>22.5</v>
      </c>
    </row>
    <row r="476" spans="1:16">
      <c r="A476" s="2">
        <v>475</v>
      </c>
      <c r="B476" s="4">
        <f>YEAR(G476)</f>
        <v>2023</v>
      </c>
      <c r="C476" s="4">
        <f>MONTH(G476)</f>
        <v>1</v>
      </c>
      <c r="D476" s="4">
        <f>DAY(G476)</f>
        <v>20</v>
      </c>
      <c r="E476" s="4" t="str">
        <f>TEXT(G476, "mmmm")</f>
        <v>January</v>
      </c>
      <c r="F476" s="4" t="str">
        <f>TEXT(G476, "dddd")</f>
        <v>Friday</v>
      </c>
      <c r="G476" s="3">
        <v>44946</v>
      </c>
      <c r="H476" s="4" t="s">
        <v>502</v>
      </c>
      <c r="I476" s="4" t="s">
        <v>16</v>
      </c>
      <c r="J476" s="4">
        <v>26</v>
      </c>
      <c r="K476" s="4" t="str" cm="1">
        <f t="array" ref="K476">_xlfn.IFS(J476&lt;30, "Young Adult", J476&lt;50, "Adult", J476&gt;=50, "Senior")</f>
        <v>Young Adult</v>
      </c>
      <c r="L476" s="4" t="s">
        <v>21</v>
      </c>
      <c r="M476" s="4">
        <v>3</v>
      </c>
      <c r="N476" s="5">
        <v>25</v>
      </c>
      <c r="O476">
        <f>M476*N476</f>
        <v>75</v>
      </c>
      <c r="P476" s="14">
        <f>O476*$S$3</f>
        <v>1.125</v>
      </c>
    </row>
    <row r="477" spans="1:16">
      <c r="A477" s="2">
        <v>476</v>
      </c>
      <c r="B477" s="4">
        <f>YEAR(G477)</f>
        <v>2023</v>
      </c>
      <c r="C477" s="4">
        <f>MONTH(G477)</f>
        <v>8</v>
      </c>
      <c r="D477" s="4">
        <f>DAY(G477)</f>
        <v>29</v>
      </c>
      <c r="E477" s="4" t="str">
        <f>TEXT(G477, "mmmm")</f>
        <v>August</v>
      </c>
      <c r="F477" s="4" t="str">
        <f>TEXT(G477, "dddd")</f>
        <v>Tuesday</v>
      </c>
      <c r="G477" s="3">
        <v>45167</v>
      </c>
      <c r="H477" s="4" t="s">
        <v>503</v>
      </c>
      <c r="I477" s="4" t="s">
        <v>20</v>
      </c>
      <c r="J477" s="4">
        <v>27</v>
      </c>
      <c r="K477" s="4" t="str" cm="1">
        <f t="array" ref="K477">_xlfn.IFS(J477&lt;30, "Young Adult", J477&lt;50, "Adult", J477&gt;=50, "Senior")</f>
        <v>Young Adult</v>
      </c>
      <c r="L477" s="4" t="s">
        <v>21</v>
      </c>
      <c r="M477" s="4">
        <v>4</v>
      </c>
      <c r="N477" s="5">
        <v>500</v>
      </c>
      <c r="O477">
        <f>M477*N477</f>
        <v>2000</v>
      </c>
      <c r="P477" s="14">
        <f>O477*$S$3</f>
        <v>30</v>
      </c>
    </row>
    <row r="478" spans="1:16">
      <c r="A478" s="2">
        <v>477</v>
      </c>
      <c r="B478" s="4">
        <f>YEAR(G478)</f>
        <v>2023</v>
      </c>
      <c r="C478" s="4">
        <f>MONTH(G478)</f>
        <v>4</v>
      </c>
      <c r="D478" s="4">
        <f>DAY(G478)</f>
        <v>24</v>
      </c>
      <c r="E478" s="4" t="str">
        <f>TEXT(G478, "mmmm")</f>
        <v>April</v>
      </c>
      <c r="F478" s="4" t="str">
        <f>TEXT(G478, "dddd")</f>
        <v>Monday</v>
      </c>
      <c r="G478" s="3">
        <v>45040</v>
      </c>
      <c r="H478" s="4" t="s">
        <v>504</v>
      </c>
      <c r="I478" s="4" t="s">
        <v>16</v>
      </c>
      <c r="J478" s="4">
        <v>43</v>
      </c>
      <c r="K478" s="4" t="str" cm="1">
        <f t="array" ref="K478">_xlfn.IFS(J478&lt;30, "Young Adult", J478&lt;50, "Adult", J478&gt;=50, "Senior")</f>
        <v>Adult</v>
      </c>
      <c r="L478" s="4" t="s">
        <v>21</v>
      </c>
      <c r="M478" s="4">
        <v>4</v>
      </c>
      <c r="N478" s="5">
        <v>30</v>
      </c>
      <c r="O478">
        <f>M478*N478</f>
        <v>120</v>
      </c>
      <c r="P478" s="14">
        <f>O478*$S$3</f>
        <v>1.7999999999999998</v>
      </c>
    </row>
    <row r="479" spans="1:16">
      <c r="A479" s="2">
        <v>478</v>
      </c>
      <c r="B479" s="4">
        <f>YEAR(G479)</f>
        <v>2023</v>
      </c>
      <c r="C479" s="4">
        <f>MONTH(G479)</f>
        <v>4</v>
      </c>
      <c r="D479" s="4">
        <f>DAY(G479)</f>
        <v>13</v>
      </c>
      <c r="E479" s="4" t="str">
        <f>TEXT(G479, "mmmm")</f>
        <v>April</v>
      </c>
      <c r="F479" s="4" t="str">
        <f>TEXT(G479, "dddd")</f>
        <v>Thursday</v>
      </c>
      <c r="G479" s="3">
        <v>45029</v>
      </c>
      <c r="H479" s="4" t="s">
        <v>505</v>
      </c>
      <c r="I479" s="4" t="s">
        <v>20</v>
      </c>
      <c r="J479" s="4">
        <v>58</v>
      </c>
      <c r="K479" s="4" t="str" cm="1">
        <f t="array" ref="K479">_xlfn.IFS(J479&lt;30, "Young Adult", J479&lt;50, "Adult", J479&gt;=50, "Senior")</f>
        <v>Senior</v>
      </c>
      <c r="L479" s="4" t="s">
        <v>21</v>
      </c>
      <c r="M479" s="4">
        <v>2</v>
      </c>
      <c r="N479" s="5">
        <v>30</v>
      </c>
      <c r="O479">
        <f>M479*N479</f>
        <v>60</v>
      </c>
      <c r="P479" s="14">
        <f>O479*$S$3</f>
        <v>0.89999999999999991</v>
      </c>
    </row>
    <row r="480" spans="1:16">
      <c r="A480" s="2">
        <v>479</v>
      </c>
      <c r="B480" s="4">
        <f>YEAR(G480)</f>
        <v>2023</v>
      </c>
      <c r="C480" s="4">
        <f>MONTH(G480)</f>
        <v>8</v>
      </c>
      <c r="D480" s="4">
        <f>DAY(G480)</f>
        <v>24</v>
      </c>
      <c r="E480" s="4" t="str">
        <f>TEXT(G480, "mmmm")</f>
        <v>August</v>
      </c>
      <c r="F480" s="4" t="str">
        <f>TEXT(G480, "dddd")</f>
        <v>Thursday</v>
      </c>
      <c r="G480" s="3">
        <v>45162</v>
      </c>
      <c r="H480" s="4" t="s">
        <v>506</v>
      </c>
      <c r="I480" s="4" t="s">
        <v>16</v>
      </c>
      <c r="J480" s="4">
        <v>52</v>
      </c>
      <c r="K480" s="4" t="str" cm="1">
        <f t="array" ref="K480">_xlfn.IFS(J480&lt;30, "Young Adult", J480&lt;50, "Adult", J480&gt;=50, "Senior")</f>
        <v>Senior</v>
      </c>
      <c r="L480" s="4" t="s">
        <v>24</v>
      </c>
      <c r="M480" s="4">
        <v>4</v>
      </c>
      <c r="N480" s="5">
        <v>300</v>
      </c>
      <c r="O480">
        <f>M480*N480</f>
        <v>1200</v>
      </c>
      <c r="P480" s="14">
        <f>O480*$S$3</f>
        <v>18</v>
      </c>
    </row>
    <row r="481" spans="1:16">
      <c r="A481" s="2">
        <v>480</v>
      </c>
      <c r="B481" s="4">
        <f>YEAR(G481)</f>
        <v>2023</v>
      </c>
      <c r="C481" s="4">
        <f>MONTH(G481)</f>
        <v>6</v>
      </c>
      <c r="D481" s="4">
        <f>DAY(G481)</f>
        <v>29</v>
      </c>
      <c r="E481" s="4" t="str">
        <f>TEXT(G481, "mmmm")</f>
        <v>June</v>
      </c>
      <c r="F481" s="4" t="str">
        <f>TEXT(G481, "dddd")</f>
        <v>Thursday</v>
      </c>
      <c r="G481" s="3">
        <v>45106</v>
      </c>
      <c r="H481" s="4" t="s">
        <v>507</v>
      </c>
      <c r="I481" s="4" t="s">
        <v>20</v>
      </c>
      <c r="J481" s="4">
        <v>42</v>
      </c>
      <c r="K481" s="4" t="str" cm="1">
        <f t="array" ref="K481">_xlfn.IFS(J481&lt;30, "Young Adult", J481&lt;50, "Adult", J481&gt;=50, "Senior")</f>
        <v>Adult</v>
      </c>
      <c r="L481" s="4" t="s">
        <v>17</v>
      </c>
      <c r="M481" s="4">
        <v>4</v>
      </c>
      <c r="N481" s="5">
        <v>500</v>
      </c>
      <c r="O481">
        <f>M481*N481</f>
        <v>2000</v>
      </c>
      <c r="P481" s="14">
        <f>O481*$S$3</f>
        <v>30</v>
      </c>
    </row>
    <row r="482" spans="1:16">
      <c r="A482" s="2">
        <v>481</v>
      </c>
      <c r="B482" s="4">
        <f>YEAR(G482)</f>
        <v>2023</v>
      </c>
      <c r="C482" s="4">
        <f>MONTH(G482)</f>
        <v>6</v>
      </c>
      <c r="D482" s="4">
        <f>DAY(G482)</f>
        <v>6</v>
      </c>
      <c r="E482" s="4" t="str">
        <f>TEXT(G482, "mmmm")</f>
        <v>June</v>
      </c>
      <c r="F482" s="4" t="str">
        <f>TEXT(G482, "dddd")</f>
        <v>Tuesday</v>
      </c>
      <c r="G482" s="3">
        <v>45083</v>
      </c>
      <c r="H482" s="4" t="s">
        <v>508</v>
      </c>
      <c r="I482" s="4" t="s">
        <v>20</v>
      </c>
      <c r="J482" s="4">
        <v>43</v>
      </c>
      <c r="K482" s="4" t="str" cm="1">
        <f t="array" ref="K482">_xlfn.IFS(J482&lt;30, "Young Adult", J482&lt;50, "Adult", J482&gt;=50, "Senior")</f>
        <v>Adult</v>
      </c>
      <c r="L482" s="4" t="s">
        <v>24</v>
      </c>
      <c r="M482" s="4">
        <v>4</v>
      </c>
      <c r="N482" s="5">
        <v>300</v>
      </c>
      <c r="O482">
        <f>M482*N482</f>
        <v>1200</v>
      </c>
      <c r="P482" s="14">
        <f>O482*$S$3</f>
        <v>18</v>
      </c>
    </row>
    <row r="483" spans="1:16">
      <c r="A483" s="2">
        <v>482</v>
      </c>
      <c r="B483" s="4">
        <f>YEAR(G483)</f>
        <v>2023</v>
      </c>
      <c r="C483" s="4">
        <f>MONTH(G483)</f>
        <v>4</v>
      </c>
      <c r="D483" s="4">
        <f>DAY(G483)</f>
        <v>27</v>
      </c>
      <c r="E483" s="4" t="str">
        <f>TEXT(G483, "mmmm")</f>
        <v>April</v>
      </c>
      <c r="F483" s="4" t="str">
        <f>TEXT(G483, "dddd")</f>
        <v>Thursday</v>
      </c>
      <c r="G483" s="3">
        <v>45043</v>
      </c>
      <c r="H483" s="4" t="s">
        <v>509</v>
      </c>
      <c r="I483" s="4" t="s">
        <v>20</v>
      </c>
      <c r="J483" s="4">
        <v>28</v>
      </c>
      <c r="K483" s="4" t="str" cm="1">
        <f t="array" ref="K483">_xlfn.IFS(J483&lt;30, "Young Adult", J483&lt;50, "Adult", J483&gt;=50, "Senior")</f>
        <v>Young Adult</v>
      </c>
      <c r="L483" s="4" t="s">
        <v>21</v>
      </c>
      <c r="M483" s="4">
        <v>4</v>
      </c>
      <c r="N483" s="5">
        <v>300</v>
      </c>
      <c r="O483">
        <f>M483*N483</f>
        <v>1200</v>
      </c>
      <c r="P483" s="14">
        <f>O483*$S$3</f>
        <v>18</v>
      </c>
    </row>
    <row r="484" spans="1:16">
      <c r="A484" s="2">
        <v>483</v>
      </c>
      <c r="B484" s="4">
        <f>YEAR(G484)</f>
        <v>2023</v>
      </c>
      <c r="C484" s="4">
        <f>MONTH(G484)</f>
        <v>4</v>
      </c>
      <c r="D484" s="4">
        <f>DAY(G484)</f>
        <v>25</v>
      </c>
      <c r="E484" s="4" t="str">
        <f>TEXT(G484, "mmmm")</f>
        <v>April</v>
      </c>
      <c r="F484" s="4" t="str">
        <f>TEXT(G484, "dddd")</f>
        <v>Tuesday</v>
      </c>
      <c r="G484" s="3">
        <v>45041</v>
      </c>
      <c r="H484" s="4" t="s">
        <v>510</v>
      </c>
      <c r="I484" s="4" t="s">
        <v>16</v>
      </c>
      <c r="J484" s="4">
        <v>55</v>
      </c>
      <c r="K484" s="4" t="str" cm="1">
        <f t="array" ref="K484">_xlfn.IFS(J484&lt;30, "Young Adult", J484&lt;50, "Adult", J484&gt;=50, "Senior")</f>
        <v>Senior</v>
      </c>
      <c r="L484" s="4" t="s">
        <v>21</v>
      </c>
      <c r="M484" s="4">
        <v>1</v>
      </c>
      <c r="N484" s="5">
        <v>30</v>
      </c>
      <c r="O484">
        <f>M484*N484</f>
        <v>30</v>
      </c>
      <c r="P484" s="14">
        <f>O484*$S$3</f>
        <v>0.44999999999999996</v>
      </c>
    </row>
    <row r="485" spans="1:16">
      <c r="A485" s="2">
        <v>484</v>
      </c>
      <c r="B485" s="4">
        <f>YEAR(G485)</f>
        <v>2023</v>
      </c>
      <c r="C485" s="4">
        <f>MONTH(G485)</f>
        <v>1</v>
      </c>
      <c r="D485" s="4">
        <f>DAY(G485)</f>
        <v>13</v>
      </c>
      <c r="E485" s="4" t="str">
        <f>TEXT(G485, "mmmm")</f>
        <v>January</v>
      </c>
      <c r="F485" s="4" t="str">
        <f>TEXT(G485, "dddd")</f>
        <v>Friday</v>
      </c>
      <c r="G485" s="3">
        <v>44939</v>
      </c>
      <c r="H485" s="4" t="s">
        <v>511</v>
      </c>
      <c r="I485" s="4" t="s">
        <v>20</v>
      </c>
      <c r="J485" s="4">
        <v>19</v>
      </c>
      <c r="K485" s="4" t="str" cm="1">
        <f t="array" ref="K485">_xlfn.IFS(J485&lt;30, "Young Adult", J485&lt;50, "Adult", J485&gt;=50, "Senior")</f>
        <v>Young Adult</v>
      </c>
      <c r="L485" s="4" t="s">
        <v>21</v>
      </c>
      <c r="M485" s="4">
        <v>4</v>
      </c>
      <c r="N485" s="5">
        <v>300</v>
      </c>
      <c r="O485">
        <f>M485*N485</f>
        <v>1200</v>
      </c>
      <c r="P485" s="14">
        <f>O485*$S$3</f>
        <v>18</v>
      </c>
    </row>
    <row r="486" spans="1:16">
      <c r="A486" s="2">
        <v>485</v>
      </c>
      <c r="B486" s="4">
        <f>YEAR(G486)</f>
        <v>2023</v>
      </c>
      <c r="C486" s="4">
        <f>MONTH(G486)</f>
        <v>12</v>
      </c>
      <c r="D486" s="4">
        <f>DAY(G486)</f>
        <v>4</v>
      </c>
      <c r="E486" s="4" t="str">
        <f>TEXT(G486, "mmmm")</f>
        <v>December</v>
      </c>
      <c r="F486" s="4" t="str">
        <f>TEXT(G486, "dddd")</f>
        <v>Monday</v>
      </c>
      <c r="G486" s="3">
        <v>45264</v>
      </c>
      <c r="H486" s="4" t="s">
        <v>512</v>
      </c>
      <c r="I486" s="4" t="s">
        <v>16</v>
      </c>
      <c r="J486" s="4">
        <v>24</v>
      </c>
      <c r="K486" s="4" t="str" cm="1">
        <f t="array" ref="K486">_xlfn.IFS(J486&lt;30, "Young Adult", J486&lt;50, "Adult", J486&gt;=50, "Senior")</f>
        <v>Young Adult</v>
      </c>
      <c r="L486" s="4" t="s">
        <v>24</v>
      </c>
      <c r="M486" s="4">
        <v>1</v>
      </c>
      <c r="N486" s="5">
        <v>30</v>
      </c>
      <c r="O486">
        <f>M486*N486</f>
        <v>30</v>
      </c>
      <c r="P486" s="14">
        <f>O486*$S$3</f>
        <v>0.44999999999999996</v>
      </c>
    </row>
    <row r="487" spans="1:16">
      <c r="A487" s="2">
        <v>486</v>
      </c>
      <c r="B487" s="4">
        <f>YEAR(G487)</f>
        <v>2023</v>
      </c>
      <c r="C487" s="4">
        <f>MONTH(G487)</f>
        <v>4</v>
      </c>
      <c r="D487" s="4">
        <f>DAY(G487)</f>
        <v>9</v>
      </c>
      <c r="E487" s="4" t="str">
        <f>TEXT(G487, "mmmm")</f>
        <v>April</v>
      </c>
      <c r="F487" s="4" t="str">
        <f>TEXT(G487, "dddd")</f>
        <v>Sunday</v>
      </c>
      <c r="G487" s="3">
        <v>45025</v>
      </c>
      <c r="H487" s="4" t="s">
        <v>513</v>
      </c>
      <c r="I487" s="4" t="s">
        <v>20</v>
      </c>
      <c r="J487" s="4">
        <v>35</v>
      </c>
      <c r="K487" s="4" t="str" cm="1">
        <f t="array" ref="K487">_xlfn.IFS(J487&lt;30, "Young Adult", J487&lt;50, "Adult", J487&gt;=50, "Senior")</f>
        <v>Adult</v>
      </c>
      <c r="L487" s="4" t="s">
        <v>24</v>
      </c>
      <c r="M487" s="4">
        <v>1</v>
      </c>
      <c r="N487" s="5">
        <v>25</v>
      </c>
      <c r="O487">
        <f>M487*N487</f>
        <v>25</v>
      </c>
      <c r="P487" s="14">
        <f>O487*$S$3</f>
        <v>0.375</v>
      </c>
    </row>
    <row r="488" spans="1:16">
      <c r="A488" s="2">
        <v>487</v>
      </c>
      <c r="B488" s="4">
        <f>YEAR(G488)</f>
        <v>2023</v>
      </c>
      <c r="C488" s="4">
        <f>MONTH(G488)</f>
        <v>7</v>
      </c>
      <c r="D488" s="4">
        <f>DAY(G488)</f>
        <v>24</v>
      </c>
      <c r="E488" s="4" t="str">
        <f>TEXT(G488, "mmmm")</f>
        <v>July</v>
      </c>
      <c r="F488" s="4" t="str">
        <f>TEXT(G488, "dddd")</f>
        <v>Monday</v>
      </c>
      <c r="G488" s="3">
        <v>45131</v>
      </c>
      <c r="H488" s="4" t="s">
        <v>514</v>
      </c>
      <c r="I488" s="4" t="s">
        <v>16</v>
      </c>
      <c r="J488" s="4">
        <v>44</v>
      </c>
      <c r="K488" s="4" t="str" cm="1">
        <f t="array" ref="K488">_xlfn.IFS(J488&lt;30, "Young Adult", J488&lt;50, "Adult", J488&gt;=50, "Senior")</f>
        <v>Adult</v>
      </c>
      <c r="L488" s="4" t="s">
        <v>21</v>
      </c>
      <c r="M488" s="4">
        <v>4</v>
      </c>
      <c r="N488" s="5">
        <v>500</v>
      </c>
      <c r="O488">
        <f>M488*N488</f>
        <v>2000</v>
      </c>
      <c r="P488" s="14">
        <f>O488*$S$3</f>
        <v>30</v>
      </c>
    </row>
    <row r="489" spans="1:16">
      <c r="A489" s="2">
        <v>488</v>
      </c>
      <c r="B489" s="4">
        <f>YEAR(G489)</f>
        <v>2023</v>
      </c>
      <c r="C489" s="4">
        <f>MONTH(G489)</f>
        <v>6</v>
      </c>
      <c r="D489" s="4">
        <f>DAY(G489)</f>
        <v>18</v>
      </c>
      <c r="E489" s="4" t="str">
        <f>TEXT(G489, "mmmm")</f>
        <v>June</v>
      </c>
      <c r="F489" s="4" t="str">
        <f>TEXT(G489, "dddd")</f>
        <v>Sunday</v>
      </c>
      <c r="G489" s="3">
        <v>45095</v>
      </c>
      <c r="H489" s="4" t="s">
        <v>515</v>
      </c>
      <c r="I489" s="4" t="s">
        <v>20</v>
      </c>
      <c r="J489" s="4">
        <v>51</v>
      </c>
      <c r="K489" s="4" t="str" cm="1">
        <f t="array" ref="K489">_xlfn.IFS(J489&lt;30, "Young Adult", J489&lt;50, "Adult", J489&gt;=50, "Senior")</f>
        <v>Senior</v>
      </c>
      <c r="L489" s="4" t="s">
        <v>24</v>
      </c>
      <c r="M489" s="4">
        <v>3</v>
      </c>
      <c r="N489" s="5">
        <v>300</v>
      </c>
      <c r="O489">
        <f>M489*N489</f>
        <v>900</v>
      </c>
      <c r="P489" s="14">
        <f>O489*$S$3</f>
        <v>13.5</v>
      </c>
    </row>
    <row r="490" spans="1:16">
      <c r="A490" s="2">
        <v>489</v>
      </c>
      <c r="B490" s="4">
        <f>YEAR(G490)</f>
        <v>2023</v>
      </c>
      <c r="C490" s="4">
        <f>MONTH(G490)</f>
        <v>5</v>
      </c>
      <c r="D490" s="4">
        <f>DAY(G490)</f>
        <v>23</v>
      </c>
      <c r="E490" s="4" t="str">
        <f>TEXT(G490, "mmmm")</f>
        <v>May</v>
      </c>
      <c r="F490" s="4" t="str">
        <f>TEXT(G490, "dddd")</f>
        <v>Tuesday</v>
      </c>
      <c r="G490" s="3">
        <v>45069</v>
      </c>
      <c r="H490" s="4" t="s">
        <v>516</v>
      </c>
      <c r="I490" s="4" t="s">
        <v>16</v>
      </c>
      <c r="J490" s="4">
        <v>44</v>
      </c>
      <c r="K490" s="4" t="str" cm="1">
        <f t="array" ref="K490">_xlfn.IFS(J490&lt;30, "Young Adult", J490&lt;50, "Adult", J490&gt;=50, "Senior")</f>
        <v>Adult</v>
      </c>
      <c r="L490" s="4" t="s">
        <v>24</v>
      </c>
      <c r="M490" s="4">
        <v>1</v>
      </c>
      <c r="N490" s="5">
        <v>30</v>
      </c>
      <c r="O490">
        <f>M490*N490</f>
        <v>30</v>
      </c>
      <c r="P490" s="14">
        <f>O490*$S$3</f>
        <v>0.44999999999999996</v>
      </c>
    </row>
    <row r="491" spans="1:16">
      <c r="A491" s="2">
        <v>490</v>
      </c>
      <c r="B491" s="4">
        <f>YEAR(G491)</f>
        <v>2023</v>
      </c>
      <c r="C491" s="4">
        <f>MONTH(G491)</f>
        <v>2</v>
      </c>
      <c r="D491" s="4">
        <f>DAY(G491)</f>
        <v>5</v>
      </c>
      <c r="E491" s="4" t="str">
        <f>TEXT(G491, "mmmm")</f>
        <v>February</v>
      </c>
      <c r="F491" s="4" t="str">
        <f>TEXT(G491, "dddd")</f>
        <v>Sunday</v>
      </c>
      <c r="G491" s="3">
        <v>44962</v>
      </c>
      <c r="H491" s="4" t="s">
        <v>517</v>
      </c>
      <c r="I491" s="4" t="s">
        <v>16</v>
      </c>
      <c r="J491" s="4">
        <v>34</v>
      </c>
      <c r="K491" s="4" t="str" cm="1">
        <f t="array" ref="K491">_xlfn.IFS(J491&lt;30, "Young Adult", J491&lt;50, "Adult", J491&gt;=50, "Senior")</f>
        <v>Adult</v>
      </c>
      <c r="L491" s="4" t="s">
        <v>21</v>
      </c>
      <c r="M491" s="4">
        <v>3</v>
      </c>
      <c r="N491" s="5">
        <v>50</v>
      </c>
      <c r="O491">
        <f>M491*N491</f>
        <v>150</v>
      </c>
      <c r="P491" s="14">
        <f>O491*$S$3</f>
        <v>2.25</v>
      </c>
    </row>
    <row r="492" spans="1:16">
      <c r="A492" s="2">
        <v>491</v>
      </c>
      <c r="B492" s="4">
        <f>YEAR(G492)</f>
        <v>2023</v>
      </c>
      <c r="C492" s="4">
        <f>MONTH(G492)</f>
        <v>5</v>
      </c>
      <c r="D492" s="4">
        <f>DAY(G492)</f>
        <v>23</v>
      </c>
      <c r="E492" s="4" t="str">
        <f>TEXT(G492, "mmmm")</f>
        <v>May</v>
      </c>
      <c r="F492" s="4" t="str">
        <f>TEXT(G492, "dddd")</f>
        <v>Tuesday</v>
      </c>
      <c r="G492" s="3">
        <v>45069</v>
      </c>
      <c r="H492" s="4" t="s">
        <v>518</v>
      </c>
      <c r="I492" s="4" t="s">
        <v>20</v>
      </c>
      <c r="J492" s="4">
        <v>60</v>
      </c>
      <c r="K492" s="4" t="str" cm="1">
        <f t="array" ref="K492">_xlfn.IFS(J492&lt;30, "Young Adult", J492&lt;50, "Adult", J492&gt;=50, "Senior")</f>
        <v>Senior</v>
      </c>
      <c r="L492" s="4" t="s">
        <v>24</v>
      </c>
      <c r="M492" s="4">
        <v>3</v>
      </c>
      <c r="N492" s="5">
        <v>300</v>
      </c>
      <c r="O492">
        <f>M492*N492</f>
        <v>900</v>
      </c>
      <c r="P492" s="14">
        <f>O492*$S$3</f>
        <v>13.5</v>
      </c>
    </row>
    <row r="493" spans="1:16">
      <c r="A493" s="2">
        <v>492</v>
      </c>
      <c r="B493" s="4">
        <f>YEAR(G493)</f>
        <v>2023</v>
      </c>
      <c r="C493" s="4">
        <f>MONTH(G493)</f>
        <v>6</v>
      </c>
      <c r="D493" s="4">
        <f>DAY(G493)</f>
        <v>29</v>
      </c>
      <c r="E493" s="4" t="str">
        <f>TEXT(G493, "mmmm")</f>
        <v>June</v>
      </c>
      <c r="F493" s="4" t="str">
        <f>TEXT(G493, "dddd")</f>
        <v>Thursday</v>
      </c>
      <c r="G493" s="3">
        <v>45106</v>
      </c>
      <c r="H493" s="4" t="s">
        <v>519</v>
      </c>
      <c r="I493" s="4" t="s">
        <v>16</v>
      </c>
      <c r="J493" s="4">
        <v>61</v>
      </c>
      <c r="K493" s="4" t="str" cm="1">
        <f t="array" ref="K493">_xlfn.IFS(J493&lt;30, "Young Adult", J493&lt;50, "Adult", J493&gt;=50, "Senior")</f>
        <v>Senior</v>
      </c>
      <c r="L493" s="4" t="s">
        <v>17</v>
      </c>
      <c r="M493" s="4">
        <v>4</v>
      </c>
      <c r="N493" s="5">
        <v>25</v>
      </c>
      <c r="O493">
        <f>M493*N493</f>
        <v>100</v>
      </c>
      <c r="P493" s="14">
        <f>O493*$S$3</f>
        <v>1.5</v>
      </c>
    </row>
    <row r="494" spans="1:16">
      <c r="A494" s="2">
        <v>493</v>
      </c>
      <c r="B494" s="4">
        <f>YEAR(G494)</f>
        <v>2023</v>
      </c>
      <c r="C494" s="4">
        <f>MONTH(G494)</f>
        <v>11</v>
      </c>
      <c r="D494" s="4">
        <f>DAY(G494)</f>
        <v>25</v>
      </c>
      <c r="E494" s="4" t="str">
        <f>TEXT(G494, "mmmm")</f>
        <v>November</v>
      </c>
      <c r="F494" s="4" t="str">
        <f>TEXT(G494, "dddd")</f>
        <v>Saturday</v>
      </c>
      <c r="G494" s="3">
        <v>45255</v>
      </c>
      <c r="H494" s="4" t="s">
        <v>520</v>
      </c>
      <c r="I494" s="4" t="s">
        <v>16</v>
      </c>
      <c r="J494" s="4">
        <v>41</v>
      </c>
      <c r="K494" s="4" t="str" cm="1">
        <f t="array" ref="K494">_xlfn.IFS(J494&lt;30, "Young Adult", J494&lt;50, "Adult", J494&gt;=50, "Senior")</f>
        <v>Adult</v>
      </c>
      <c r="L494" s="4" t="s">
        <v>17</v>
      </c>
      <c r="M494" s="4">
        <v>2</v>
      </c>
      <c r="N494" s="5">
        <v>25</v>
      </c>
      <c r="O494">
        <f>M494*N494</f>
        <v>50</v>
      </c>
      <c r="P494" s="14">
        <f>O494*$S$3</f>
        <v>0.75</v>
      </c>
    </row>
    <row r="495" spans="1:16">
      <c r="A495" s="2">
        <v>494</v>
      </c>
      <c r="B495" s="4">
        <f>YEAR(G495)</f>
        <v>2023</v>
      </c>
      <c r="C495" s="4">
        <f>MONTH(G495)</f>
        <v>9</v>
      </c>
      <c r="D495" s="4">
        <f>DAY(G495)</f>
        <v>18</v>
      </c>
      <c r="E495" s="4" t="str">
        <f>TEXT(G495, "mmmm")</f>
        <v>September</v>
      </c>
      <c r="F495" s="4" t="str">
        <f>TEXT(G495, "dddd")</f>
        <v>Monday</v>
      </c>
      <c r="G495" s="3">
        <v>45187</v>
      </c>
      <c r="H495" s="4" t="s">
        <v>521</v>
      </c>
      <c r="I495" s="4" t="s">
        <v>20</v>
      </c>
      <c r="J495" s="4">
        <v>42</v>
      </c>
      <c r="K495" s="4" t="str" cm="1">
        <f t="array" ref="K495">_xlfn.IFS(J495&lt;30, "Young Adult", J495&lt;50, "Adult", J495&gt;=50, "Senior")</f>
        <v>Adult</v>
      </c>
      <c r="L495" s="4" t="s">
        <v>17</v>
      </c>
      <c r="M495" s="4">
        <v>4</v>
      </c>
      <c r="N495" s="5">
        <v>50</v>
      </c>
      <c r="O495">
        <f>M495*N495</f>
        <v>200</v>
      </c>
      <c r="P495" s="14">
        <f>O495*$S$3</f>
        <v>3</v>
      </c>
    </row>
    <row r="496" spans="1:16">
      <c r="A496" s="2">
        <v>495</v>
      </c>
      <c r="B496" s="4">
        <f>YEAR(G496)</f>
        <v>2023</v>
      </c>
      <c r="C496" s="4">
        <f>MONTH(G496)</f>
        <v>7</v>
      </c>
      <c r="D496" s="4">
        <f>DAY(G496)</f>
        <v>24</v>
      </c>
      <c r="E496" s="4" t="str">
        <f>TEXT(G496, "mmmm")</f>
        <v>July</v>
      </c>
      <c r="F496" s="4" t="str">
        <f>TEXT(G496, "dddd")</f>
        <v>Monday</v>
      </c>
      <c r="G496" s="3">
        <v>45131</v>
      </c>
      <c r="H496" s="4" t="s">
        <v>522</v>
      </c>
      <c r="I496" s="4" t="s">
        <v>16</v>
      </c>
      <c r="J496" s="4">
        <v>24</v>
      </c>
      <c r="K496" s="4" t="str" cm="1">
        <f t="array" ref="K496">_xlfn.IFS(J496&lt;30, "Young Adult", J496&lt;50, "Adult", J496&gt;=50, "Senior")</f>
        <v>Young Adult</v>
      </c>
      <c r="L496" s="4" t="s">
        <v>17</v>
      </c>
      <c r="M496" s="4">
        <v>2</v>
      </c>
      <c r="N496" s="5">
        <v>30</v>
      </c>
      <c r="O496">
        <f>M496*N496</f>
        <v>60</v>
      </c>
      <c r="P496" s="14">
        <f>O496*$S$3</f>
        <v>0.89999999999999991</v>
      </c>
    </row>
    <row r="497" spans="1:16">
      <c r="A497" s="2">
        <v>496</v>
      </c>
      <c r="B497" s="4">
        <f>YEAR(G497)</f>
        <v>2023</v>
      </c>
      <c r="C497" s="4">
        <f>MONTH(G497)</f>
        <v>12</v>
      </c>
      <c r="D497" s="4">
        <f>DAY(G497)</f>
        <v>14</v>
      </c>
      <c r="E497" s="4" t="str">
        <f>TEXT(G497, "mmmm")</f>
        <v>December</v>
      </c>
      <c r="F497" s="4" t="str">
        <f>TEXT(G497, "dddd")</f>
        <v>Thursday</v>
      </c>
      <c r="G497" s="3">
        <v>45274</v>
      </c>
      <c r="H497" s="4" t="s">
        <v>523</v>
      </c>
      <c r="I497" s="4" t="s">
        <v>16</v>
      </c>
      <c r="J497" s="4">
        <v>23</v>
      </c>
      <c r="K497" s="4" t="str" cm="1">
        <f t="array" ref="K497">_xlfn.IFS(J497&lt;30, "Young Adult", J497&lt;50, "Adult", J497&gt;=50, "Senior")</f>
        <v>Young Adult</v>
      </c>
      <c r="L497" s="4" t="s">
        <v>21</v>
      </c>
      <c r="M497" s="4">
        <v>2</v>
      </c>
      <c r="N497" s="5">
        <v>300</v>
      </c>
      <c r="O497">
        <f>M497*N497</f>
        <v>600</v>
      </c>
      <c r="P497" s="14">
        <f>O497*$S$3</f>
        <v>9</v>
      </c>
    </row>
    <row r="498" spans="1:16">
      <c r="A498" s="2">
        <v>497</v>
      </c>
      <c r="B498" s="4">
        <f>YEAR(G498)</f>
        <v>2023</v>
      </c>
      <c r="C498" s="4">
        <f>MONTH(G498)</f>
        <v>10</v>
      </c>
      <c r="D498" s="4">
        <f>DAY(G498)</f>
        <v>2</v>
      </c>
      <c r="E498" s="4" t="str">
        <f>TEXT(G498, "mmmm")</f>
        <v>October</v>
      </c>
      <c r="F498" s="4" t="str">
        <f>TEXT(G498, "dddd")</f>
        <v>Monday</v>
      </c>
      <c r="G498" s="3">
        <v>45201</v>
      </c>
      <c r="H498" s="4" t="s">
        <v>524</v>
      </c>
      <c r="I498" s="4" t="s">
        <v>16</v>
      </c>
      <c r="J498" s="4">
        <v>41</v>
      </c>
      <c r="K498" s="4" t="str" cm="1">
        <f t="array" ref="K498">_xlfn.IFS(J498&lt;30, "Young Adult", J498&lt;50, "Adult", J498&gt;=50, "Senior")</f>
        <v>Adult</v>
      </c>
      <c r="L498" s="4" t="s">
        <v>21</v>
      </c>
      <c r="M498" s="4">
        <v>4</v>
      </c>
      <c r="N498" s="5">
        <v>30</v>
      </c>
      <c r="O498">
        <f>M498*N498</f>
        <v>120</v>
      </c>
      <c r="P498" s="14">
        <f>O498*$S$3</f>
        <v>1.7999999999999998</v>
      </c>
    </row>
    <row r="499" spans="1:16">
      <c r="A499" s="2">
        <v>498</v>
      </c>
      <c r="B499" s="4">
        <f>YEAR(G499)</f>
        <v>2023</v>
      </c>
      <c r="C499" s="4">
        <f>MONTH(G499)</f>
        <v>6</v>
      </c>
      <c r="D499" s="4">
        <f>DAY(G499)</f>
        <v>19</v>
      </c>
      <c r="E499" s="4" t="str">
        <f>TEXT(G499, "mmmm")</f>
        <v>June</v>
      </c>
      <c r="F499" s="4" t="str">
        <f>TEXT(G499, "dddd")</f>
        <v>Monday</v>
      </c>
      <c r="G499" s="3">
        <v>45096</v>
      </c>
      <c r="H499" s="4" t="s">
        <v>525</v>
      </c>
      <c r="I499" s="4" t="s">
        <v>20</v>
      </c>
      <c r="J499" s="4">
        <v>50</v>
      </c>
      <c r="K499" s="4" t="str" cm="1">
        <f t="array" ref="K499">_xlfn.IFS(J499&lt;30, "Young Adult", J499&lt;50, "Adult", J499&gt;=50, "Senior")</f>
        <v>Senior</v>
      </c>
      <c r="L499" s="4" t="s">
        <v>21</v>
      </c>
      <c r="M499" s="4">
        <v>4</v>
      </c>
      <c r="N499" s="5">
        <v>25</v>
      </c>
      <c r="O499">
        <f>M499*N499</f>
        <v>100</v>
      </c>
      <c r="P499" s="14">
        <f>O499*$S$3</f>
        <v>1.5</v>
      </c>
    </row>
    <row r="500" spans="1:16">
      <c r="A500" s="2">
        <v>499</v>
      </c>
      <c r="B500" s="4">
        <f>YEAR(G500)</f>
        <v>2023</v>
      </c>
      <c r="C500" s="4">
        <f>MONTH(G500)</f>
        <v>1</v>
      </c>
      <c r="D500" s="4">
        <f>DAY(G500)</f>
        <v>15</v>
      </c>
      <c r="E500" s="4" t="str">
        <f>TEXT(G500, "mmmm")</f>
        <v>January</v>
      </c>
      <c r="F500" s="4" t="str">
        <f>TEXT(G500, "dddd")</f>
        <v>Sunday</v>
      </c>
      <c r="G500" s="3">
        <v>44941</v>
      </c>
      <c r="H500" s="4" t="s">
        <v>526</v>
      </c>
      <c r="I500" s="4" t="s">
        <v>16</v>
      </c>
      <c r="J500" s="4">
        <v>46</v>
      </c>
      <c r="K500" s="4" t="str" cm="1">
        <f t="array" ref="K500">_xlfn.IFS(J500&lt;30, "Young Adult", J500&lt;50, "Adult", J500&gt;=50, "Senior")</f>
        <v>Adult</v>
      </c>
      <c r="L500" s="4" t="s">
        <v>17</v>
      </c>
      <c r="M500" s="4">
        <v>2</v>
      </c>
      <c r="N500" s="5">
        <v>30</v>
      </c>
      <c r="O500">
        <f>M500*N500</f>
        <v>60</v>
      </c>
      <c r="P500" s="14">
        <f>O500*$S$3</f>
        <v>0.89999999999999991</v>
      </c>
    </row>
    <row r="501" spans="1:16">
      <c r="A501" s="2">
        <v>500</v>
      </c>
      <c r="B501" s="4">
        <f>YEAR(G501)</f>
        <v>2023</v>
      </c>
      <c r="C501" s="4">
        <f>MONTH(G501)</f>
        <v>3</v>
      </c>
      <c r="D501" s="4">
        <f>DAY(G501)</f>
        <v>1</v>
      </c>
      <c r="E501" s="4" t="str">
        <f>TEXT(G501, "mmmm")</f>
        <v>March</v>
      </c>
      <c r="F501" s="4" t="str">
        <f>TEXT(G501, "dddd")</f>
        <v>Wednesday</v>
      </c>
      <c r="G501" s="3">
        <v>44986</v>
      </c>
      <c r="H501" s="4" t="s">
        <v>527</v>
      </c>
      <c r="I501" s="4" t="s">
        <v>20</v>
      </c>
      <c r="J501" s="4">
        <v>60</v>
      </c>
      <c r="K501" s="4" t="str" cm="1">
        <f t="array" ref="K501">_xlfn.IFS(J501&lt;30, "Young Adult", J501&lt;50, "Adult", J501&gt;=50, "Senior")</f>
        <v>Senior</v>
      </c>
      <c r="L501" s="4" t="s">
        <v>17</v>
      </c>
      <c r="M501" s="4">
        <v>4</v>
      </c>
      <c r="N501" s="5">
        <v>25</v>
      </c>
      <c r="O501">
        <f>M501*N501</f>
        <v>100</v>
      </c>
      <c r="P501" s="14">
        <f>O501*$S$3</f>
        <v>1.5</v>
      </c>
    </row>
    <row r="502" spans="1:16">
      <c r="A502" s="2">
        <v>501</v>
      </c>
      <c r="B502" s="4">
        <f>YEAR(G502)</f>
        <v>2023</v>
      </c>
      <c r="C502" s="4">
        <f>MONTH(G502)</f>
        <v>5</v>
      </c>
      <c r="D502" s="4">
        <f>DAY(G502)</f>
        <v>14</v>
      </c>
      <c r="E502" s="4" t="str">
        <f>TEXT(G502, "mmmm")</f>
        <v>May</v>
      </c>
      <c r="F502" s="4" t="str">
        <f>TEXT(G502, "dddd")</f>
        <v>Sunday</v>
      </c>
      <c r="G502" s="3">
        <v>45060</v>
      </c>
      <c r="H502" s="4" t="s">
        <v>528</v>
      </c>
      <c r="I502" s="4" t="s">
        <v>16</v>
      </c>
      <c r="J502" s="4">
        <v>39</v>
      </c>
      <c r="K502" s="4" t="str" cm="1">
        <f t="array" ref="K502">_xlfn.IFS(J502&lt;30, "Young Adult", J502&lt;50, "Adult", J502&gt;=50, "Senior")</f>
        <v>Adult</v>
      </c>
      <c r="L502" s="4" t="s">
        <v>24</v>
      </c>
      <c r="M502" s="4">
        <v>2</v>
      </c>
      <c r="N502" s="5">
        <v>30</v>
      </c>
      <c r="O502">
        <f>M502*N502</f>
        <v>60</v>
      </c>
      <c r="P502" s="14">
        <f>O502*$S$3</f>
        <v>0.89999999999999991</v>
      </c>
    </row>
    <row r="503" spans="1:16">
      <c r="A503" s="2">
        <v>502</v>
      </c>
      <c r="B503" s="4">
        <f>YEAR(G503)</f>
        <v>2023</v>
      </c>
      <c r="C503" s="4">
        <f>MONTH(G503)</f>
        <v>4</v>
      </c>
      <c r="D503" s="4">
        <f>DAY(G503)</f>
        <v>2</v>
      </c>
      <c r="E503" s="4" t="str">
        <f>TEXT(G503, "mmmm")</f>
        <v>April</v>
      </c>
      <c r="F503" s="4" t="str">
        <f>TEXT(G503, "dddd")</f>
        <v>Sunday</v>
      </c>
      <c r="G503" s="3">
        <v>45018</v>
      </c>
      <c r="H503" s="4" t="s">
        <v>529</v>
      </c>
      <c r="I503" s="4" t="s">
        <v>16</v>
      </c>
      <c r="J503" s="4">
        <v>43</v>
      </c>
      <c r="K503" s="4" t="str" cm="1">
        <f t="array" ref="K503">_xlfn.IFS(J503&lt;30, "Young Adult", J503&lt;50, "Adult", J503&gt;=50, "Senior")</f>
        <v>Adult</v>
      </c>
      <c r="L503" s="4" t="s">
        <v>24</v>
      </c>
      <c r="M503" s="4">
        <v>3</v>
      </c>
      <c r="N503" s="5">
        <v>50</v>
      </c>
      <c r="O503">
        <f>M503*N503</f>
        <v>150</v>
      </c>
      <c r="P503" s="14">
        <f>O503*$S$3</f>
        <v>2.25</v>
      </c>
    </row>
    <row r="504" spans="1:16">
      <c r="A504" s="2">
        <v>503</v>
      </c>
      <c r="B504" s="4">
        <f>YEAR(G504)</f>
        <v>2023</v>
      </c>
      <c r="C504" s="4">
        <f>MONTH(G504)</f>
        <v>10</v>
      </c>
      <c r="D504" s="4">
        <f>DAY(G504)</f>
        <v>25</v>
      </c>
      <c r="E504" s="4" t="str">
        <f>TEXT(G504, "mmmm")</f>
        <v>October</v>
      </c>
      <c r="F504" s="4" t="str">
        <f>TEXT(G504, "dddd")</f>
        <v>Wednesday</v>
      </c>
      <c r="G504" s="3">
        <v>45224</v>
      </c>
      <c r="H504" s="4" t="s">
        <v>530</v>
      </c>
      <c r="I504" s="4" t="s">
        <v>16</v>
      </c>
      <c r="J504" s="4">
        <v>45</v>
      </c>
      <c r="K504" s="4" t="str" cm="1">
        <f t="array" ref="K504">_xlfn.IFS(J504&lt;30, "Young Adult", J504&lt;50, "Adult", J504&gt;=50, "Senior")</f>
        <v>Adult</v>
      </c>
      <c r="L504" s="4" t="s">
        <v>17</v>
      </c>
      <c r="M504" s="4">
        <v>4</v>
      </c>
      <c r="N504" s="5">
        <v>500</v>
      </c>
      <c r="O504">
        <f>M504*N504</f>
        <v>2000</v>
      </c>
      <c r="P504" s="14">
        <f>O504*$S$3</f>
        <v>30</v>
      </c>
    </row>
    <row r="505" spans="1:16">
      <c r="A505" s="2">
        <v>504</v>
      </c>
      <c r="B505" s="4">
        <f>YEAR(G505)</f>
        <v>2023</v>
      </c>
      <c r="C505" s="4">
        <f>MONTH(G505)</f>
        <v>5</v>
      </c>
      <c r="D505" s="4">
        <f>DAY(G505)</f>
        <v>16</v>
      </c>
      <c r="E505" s="4" t="str">
        <f>TEXT(G505, "mmmm")</f>
        <v>May</v>
      </c>
      <c r="F505" s="4" t="str">
        <f>TEXT(G505, "dddd")</f>
        <v>Tuesday</v>
      </c>
      <c r="G505" s="3">
        <v>45062</v>
      </c>
      <c r="H505" s="4" t="s">
        <v>531</v>
      </c>
      <c r="I505" s="4" t="s">
        <v>20</v>
      </c>
      <c r="J505" s="4">
        <v>38</v>
      </c>
      <c r="K505" s="4" t="str" cm="1">
        <f t="array" ref="K505">_xlfn.IFS(J505&lt;30, "Young Adult", J505&lt;50, "Adult", J505&gt;=50, "Senior")</f>
        <v>Adult</v>
      </c>
      <c r="L505" s="4" t="s">
        <v>17</v>
      </c>
      <c r="M505" s="4">
        <v>3</v>
      </c>
      <c r="N505" s="5">
        <v>50</v>
      </c>
      <c r="O505">
        <f>M505*N505</f>
        <v>150</v>
      </c>
      <c r="P505" s="14">
        <f>O505*$S$3</f>
        <v>2.25</v>
      </c>
    </row>
    <row r="506" spans="1:16">
      <c r="A506" s="2">
        <v>505</v>
      </c>
      <c r="B506" s="4">
        <f>YEAR(G506)</f>
        <v>2023</v>
      </c>
      <c r="C506" s="4">
        <f>MONTH(G506)</f>
        <v>1</v>
      </c>
      <c r="D506" s="4">
        <f>DAY(G506)</f>
        <v>20</v>
      </c>
      <c r="E506" s="4" t="str">
        <f>TEXT(G506, "mmmm")</f>
        <v>January</v>
      </c>
      <c r="F506" s="4" t="str">
        <f>TEXT(G506, "dddd")</f>
        <v>Friday</v>
      </c>
      <c r="G506" s="3">
        <v>44946</v>
      </c>
      <c r="H506" s="4" t="s">
        <v>532</v>
      </c>
      <c r="I506" s="4" t="s">
        <v>16</v>
      </c>
      <c r="J506" s="4">
        <v>24</v>
      </c>
      <c r="K506" s="4" t="str" cm="1">
        <f t="array" ref="K506">_xlfn.IFS(J506&lt;30, "Young Adult", J506&lt;50, "Adult", J506&gt;=50, "Senior")</f>
        <v>Young Adult</v>
      </c>
      <c r="L506" s="4" t="s">
        <v>17</v>
      </c>
      <c r="M506" s="4">
        <v>1</v>
      </c>
      <c r="N506" s="5">
        <v>50</v>
      </c>
      <c r="O506">
        <f>M506*N506</f>
        <v>50</v>
      </c>
      <c r="P506" s="14">
        <f>O506*$S$3</f>
        <v>0.75</v>
      </c>
    </row>
    <row r="507" spans="1:16">
      <c r="A507" s="2">
        <v>506</v>
      </c>
      <c r="B507" s="4">
        <f>YEAR(G507)</f>
        <v>2023</v>
      </c>
      <c r="C507" s="4">
        <f>MONTH(G507)</f>
        <v>2</v>
      </c>
      <c r="D507" s="4">
        <f>DAY(G507)</f>
        <v>25</v>
      </c>
      <c r="E507" s="4" t="str">
        <f>TEXT(G507, "mmmm")</f>
        <v>February</v>
      </c>
      <c r="F507" s="4" t="str">
        <f>TEXT(G507, "dddd")</f>
        <v>Saturday</v>
      </c>
      <c r="G507" s="3">
        <v>44982</v>
      </c>
      <c r="H507" s="4" t="s">
        <v>533</v>
      </c>
      <c r="I507" s="4" t="s">
        <v>16</v>
      </c>
      <c r="J507" s="4">
        <v>34</v>
      </c>
      <c r="K507" s="4" t="str" cm="1">
        <f t="array" ref="K507">_xlfn.IFS(J507&lt;30, "Young Adult", J507&lt;50, "Adult", J507&gt;=50, "Senior")</f>
        <v>Adult</v>
      </c>
      <c r="L507" s="4" t="s">
        <v>17</v>
      </c>
      <c r="M507" s="4">
        <v>3</v>
      </c>
      <c r="N507" s="5">
        <v>500</v>
      </c>
      <c r="O507">
        <f>M507*N507</f>
        <v>1500</v>
      </c>
      <c r="P507" s="14">
        <f>O507*$S$3</f>
        <v>22.5</v>
      </c>
    </row>
    <row r="508" spans="1:16">
      <c r="A508" s="2">
        <v>507</v>
      </c>
      <c r="B508" s="4">
        <f>YEAR(G508)</f>
        <v>2023</v>
      </c>
      <c r="C508" s="4">
        <f>MONTH(G508)</f>
        <v>11</v>
      </c>
      <c r="D508" s="4">
        <f>DAY(G508)</f>
        <v>2</v>
      </c>
      <c r="E508" s="4" t="str">
        <f>TEXT(G508, "mmmm")</f>
        <v>November</v>
      </c>
      <c r="F508" s="4" t="str">
        <f>TEXT(G508, "dddd")</f>
        <v>Thursday</v>
      </c>
      <c r="G508" s="3">
        <v>45232</v>
      </c>
      <c r="H508" s="4" t="s">
        <v>534</v>
      </c>
      <c r="I508" s="4" t="s">
        <v>20</v>
      </c>
      <c r="J508" s="4">
        <v>37</v>
      </c>
      <c r="K508" s="4" t="str" cm="1">
        <f t="array" ref="K508">_xlfn.IFS(J508&lt;30, "Young Adult", J508&lt;50, "Adult", J508&gt;=50, "Senior")</f>
        <v>Adult</v>
      </c>
      <c r="L508" s="4" t="s">
        <v>24</v>
      </c>
      <c r="M508" s="4">
        <v>3</v>
      </c>
      <c r="N508" s="5">
        <v>500</v>
      </c>
      <c r="O508">
        <f>M508*N508</f>
        <v>1500</v>
      </c>
      <c r="P508" s="14">
        <f>O508*$S$3</f>
        <v>22.5</v>
      </c>
    </row>
    <row r="509" spans="1:16">
      <c r="A509" s="2">
        <v>508</v>
      </c>
      <c r="B509" s="4">
        <f>YEAR(G509)</f>
        <v>2023</v>
      </c>
      <c r="C509" s="4">
        <f>MONTH(G509)</f>
        <v>8</v>
      </c>
      <c r="D509" s="4">
        <f>DAY(G509)</f>
        <v>11</v>
      </c>
      <c r="E509" s="4" t="str">
        <f>TEXT(G509, "mmmm")</f>
        <v>August</v>
      </c>
      <c r="F509" s="4" t="str">
        <f>TEXT(G509, "dddd")</f>
        <v>Friday</v>
      </c>
      <c r="G509" s="3">
        <v>45149</v>
      </c>
      <c r="H509" s="4" t="s">
        <v>535</v>
      </c>
      <c r="I509" s="4" t="s">
        <v>16</v>
      </c>
      <c r="J509" s="4">
        <v>58</v>
      </c>
      <c r="K509" s="4" t="str" cm="1">
        <f t="array" ref="K509">_xlfn.IFS(J509&lt;30, "Young Adult", J509&lt;50, "Adult", J509&gt;=50, "Senior")</f>
        <v>Senior</v>
      </c>
      <c r="L509" s="4" t="s">
        <v>17</v>
      </c>
      <c r="M509" s="4">
        <v>2</v>
      </c>
      <c r="N509" s="5">
        <v>300</v>
      </c>
      <c r="O509">
        <f>M509*N509</f>
        <v>600</v>
      </c>
      <c r="P509" s="14">
        <f>O509*$S$3</f>
        <v>9</v>
      </c>
    </row>
    <row r="510" spans="1:16">
      <c r="A510" s="2">
        <v>509</v>
      </c>
      <c r="B510" s="4">
        <f>YEAR(G510)</f>
        <v>2023</v>
      </c>
      <c r="C510" s="4">
        <f>MONTH(G510)</f>
        <v>6</v>
      </c>
      <c r="D510" s="4">
        <f>DAY(G510)</f>
        <v>26</v>
      </c>
      <c r="E510" s="4" t="str">
        <f>TEXT(G510, "mmmm")</f>
        <v>June</v>
      </c>
      <c r="F510" s="4" t="str">
        <f>TEXT(G510, "dddd")</f>
        <v>Monday</v>
      </c>
      <c r="G510" s="3">
        <v>45103</v>
      </c>
      <c r="H510" s="4" t="s">
        <v>536</v>
      </c>
      <c r="I510" s="4" t="s">
        <v>20</v>
      </c>
      <c r="J510" s="4">
        <v>37</v>
      </c>
      <c r="K510" s="4" t="str" cm="1">
        <f t="array" ref="K510">_xlfn.IFS(J510&lt;30, "Young Adult", J510&lt;50, "Adult", J510&gt;=50, "Senior")</f>
        <v>Adult</v>
      </c>
      <c r="L510" s="4" t="s">
        <v>24</v>
      </c>
      <c r="M510" s="4">
        <v>3</v>
      </c>
      <c r="N510" s="5">
        <v>300</v>
      </c>
      <c r="O510">
        <f>M510*N510</f>
        <v>900</v>
      </c>
      <c r="P510" s="14">
        <f>O510*$S$3</f>
        <v>13.5</v>
      </c>
    </row>
    <row r="511" spans="1:16">
      <c r="A511" s="2">
        <v>510</v>
      </c>
      <c r="B511" s="4">
        <f>YEAR(G511)</f>
        <v>2023</v>
      </c>
      <c r="C511" s="4">
        <f>MONTH(G511)</f>
        <v>6</v>
      </c>
      <c r="D511" s="4">
        <f>DAY(G511)</f>
        <v>10</v>
      </c>
      <c r="E511" s="4" t="str">
        <f>TEXT(G511, "mmmm")</f>
        <v>June</v>
      </c>
      <c r="F511" s="4" t="str">
        <f>TEXT(G511, "dddd")</f>
        <v>Saturday</v>
      </c>
      <c r="G511" s="3">
        <v>45087</v>
      </c>
      <c r="H511" s="4" t="s">
        <v>537</v>
      </c>
      <c r="I511" s="4" t="s">
        <v>20</v>
      </c>
      <c r="J511" s="4">
        <v>39</v>
      </c>
      <c r="K511" s="4" t="str" cm="1">
        <f t="array" ref="K511">_xlfn.IFS(J511&lt;30, "Young Adult", J511&lt;50, "Adult", J511&gt;=50, "Senior")</f>
        <v>Adult</v>
      </c>
      <c r="L511" s="4" t="s">
        <v>17</v>
      </c>
      <c r="M511" s="4">
        <v>4</v>
      </c>
      <c r="N511" s="5">
        <v>50</v>
      </c>
      <c r="O511">
        <f>M511*N511</f>
        <v>200</v>
      </c>
      <c r="P511" s="14">
        <f>O511*$S$3</f>
        <v>3</v>
      </c>
    </row>
    <row r="512" spans="1:16">
      <c r="A512" s="2">
        <v>511</v>
      </c>
      <c r="B512" s="4">
        <f>YEAR(G512)</f>
        <v>2023</v>
      </c>
      <c r="C512" s="4">
        <f>MONTH(G512)</f>
        <v>8</v>
      </c>
      <c r="D512" s="4">
        <f>DAY(G512)</f>
        <v>12</v>
      </c>
      <c r="E512" s="4" t="str">
        <f>TEXT(G512, "mmmm")</f>
        <v>August</v>
      </c>
      <c r="F512" s="4" t="str">
        <f>TEXT(G512, "dddd")</f>
        <v>Saturday</v>
      </c>
      <c r="G512" s="3">
        <v>45150</v>
      </c>
      <c r="H512" s="4" t="s">
        <v>538</v>
      </c>
      <c r="I512" s="4" t="s">
        <v>16</v>
      </c>
      <c r="J512" s="4">
        <v>45</v>
      </c>
      <c r="K512" s="4" t="str" cm="1">
        <f t="array" ref="K512">_xlfn.IFS(J512&lt;30, "Young Adult", J512&lt;50, "Adult", J512&gt;=50, "Senior")</f>
        <v>Adult</v>
      </c>
      <c r="L512" s="4" t="s">
        <v>17</v>
      </c>
      <c r="M512" s="4">
        <v>2</v>
      </c>
      <c r="N512" s="5">
        <v>50</v>
      </c>
      <c r="O512">
        <f>M512*N512</f>
        <v>100</v>
      </c>
      <c r="P512" s="14">
        <f>O512*$S$3</f>
        <v>1.5</v>
      </c>
    </row>
    <row r="513" spans="1:16">
      <c r="A513" s="2">
        <v>512</v>
      </c>
      <c r="B513" s="4">
        <f>YEAR(G513)</f>
        <v>2023</v>
      </c>
      <c r="C513" s="4">
        <f>MONTH(G513)</f>
        <v>11</v>
      </c>
      <c r="D513" s="4">
        <f>DAY(G513)</f>
        <v>7</v>
      </c>
      <c r="E513" s="4" t="str">
        <f>TEXT(G513, "mmmm")</f>
        <v>November</v>
      </c>
      <c r="F513" s="4" t="str">
        <f>TEXT(G513, "dddd")</f>
        <v>Tuesday</v>
      </c>
      <c r="G513" s="3">
        <v>45237</v>
      </c>
      <c r="H513" s="4" t="s">
        <v>539</v>
      </c>
      <c r="I513" s="4" t="s">
        <v>20</v>
      </c>
      <c r="J513" s="4">
        <v>57</v>
      </c>
      <c r="K513" s="4" t="str" cm="1">
        <f t="array" ref="K513">_xlfn.IFS(J513&lt;30, "Young Adult", J513&lt;50, "Adult", J513&gt;=50, "Senior")</f>
        <v>Senior</v>
      </c>
      <c r="L513" s="4" t="s">
        <v>17</v>
      </c>
      <c r="M513" s="4">
        <v>1</v>
      </c>
      <c r="N513" s="5">
        <v>25</v>
      </c>
      <c r="O513">
        <f>M513*N513</f>
        <v>25</v>
      </c>
      <c r="P513" s="14">
        <f>O513*$S$3</f>
        <v>0.375</v>
      </c>
    </row>
    <row r="514" spans="1:16">
      <c r="A514" s="2">
        <v>513</v>
      </c>
      <c r="B514" s="4">
        <f>YEAR(G514)</f>
        <v>2023</v>
      </c>
      <c r="C514" s="4">
        <f>MONTH(G514)</f>
        <v>9</v>
      </c>
      <c r="D514" s="4">
        <f>DAY(G514)</f>
        <v>19</v>
      </c>
      <c r="E514" s="4" t="str">
        <f>TEXT(G514, "mmmm")</f>
        <v>September</v>
      </c>
      <c r="F514" s="4" t="str">
        <f>TEXT(G514, "dddd")</f>
        <v>Tuesday</v>
      </c>
      <c r="G514" s="3">
        <v>45188</v>
      </c>
      <c r="H514" s="4" t="s">
        <v>540</v>
      </c>
      <c r="I514" s="4" t="s">
        <v>16</v>
      </c>
      <c r="J514" s="4">
        <v>24</v>
      </c>
      <c r="K514" s="4" t="str" cm="1">
        <f t="array" ref="K514">_xlfn.IFS(J514&lt;30, "Young Adult", J514&lt;50, "Adult", J514&gt;=50, "Senior")</f>
        <v>Young Adult</v>
      </c>
      <c r="L514" s="4" t="s">
        <v>24</v>
      </c>
      <c r="M514" s="4">
        <v>4</v>
      </c>
      <c r="N514" s="5">
        <v>25</v>
      </c>
      <c r="O514">
        <f>M514*N514</f>
        <v>100</v>
      </c>
      <c r="P514" s="14">
        <f>O514*$S$3</f>
        <v>1.5</v>
      </c>
    </row>
    <row r="515" spans="1:16">
      <c r="A515" s="2">
        <v>514</v>
      </c>
      <c r="B515" s="4">
        <f>YEAR(G515)</f>
        <v>2023</v>
      </c>
      <c r="C515" s="4">
        <f>MONTH(G515)</f>
        <v>3</v>
      </c>
      <c r="D515" s="4">
        <f>DAY(G515)</f>
        <v>1</v>
      </c>
      <c r="E515" s="4" t="str">
        <f>TEXT(G515, "mmmm")</f>
        <v>March</v>
      </c>
      <c r="F515" s="4" t="str">
        <f>TEXT(G515, "dddd")</f>
        <v>Wednesday</v>
      </c>
      <c r="G515" s="3">
        <v>44986</v>
      </c>
      <c r="H515" s="4" t="s">
        <v>541</v>
      </c>
      <c r="I515" s="4" t="s">
        <v>20</v>
      </c>
      <c r="J515" s="4">
        <v>18</v>
      </c>
      <c r="K515" s="4" t="str" cm="1">
        <f t="array" ref="K515">_xlfn.IFS(J515&lt;30, "Young Adult", J515&lt;50, "Adult", J515&gt;=50, "Senior")</f>
        <v>Young Adult</v>
      </c>
      <c r="L515" s="4" t="s">
        <v>24</v>
      </c>
      <c r="M515" s="4">
        <v>1</v>
      </c>
      <c r="N515" s="5">
        <v>300</v>
      </c>
      <c r="O515">
        <f>M515*N515</f>
        <v>300</v>
      </c>
      <c r="P515" s="14">
        <f>O515*$S$3</f>
        <v>4.5</v>
      </c>
    </row>
    <row r="516" spans="1:16">
      <c r="A516" s="2">
        <v>515</v>
      </c>
      <c r="B516" s="4">
        <f>YEAR(G516)</f>
        <v>2023</v>
      </c>
      <c r="C516" s="4">
        <f>MONTH(G516)</f>
        <v>7</v>
      </c>
      <c r="D516" s="4">
        <f>DAY(G516)</f>
        <v>17</v>
      </c>
      <c r="E516" s="4" t="str">
        <f>TEXT(G516, "mmmm")</f>
        <v>July</v>
      </c>
      <c r="F516" s="4" t="str">
        <f>TEXT(G516, "dddd")</f>
        <v>Monday</v>
      </c>
      <c r="G516" s="3">
        <v>45124</v>
      </c>
      <c r="H516" s="4" t="s">
        <v>542</v>
      </c>
      <c r="I516" s="4" t="s">
        <v>20</v>
      </c>
      <c r="J516" s="4">
        <v>49</v>
      </c>
      <c r="K516" s="4" t="str" cm="1">
        <f t="array" ref="K516">_xlfn.IFS(J516&lt;30, "Young Adult", J516&lt;50, "Adult", J516&gt;=50, "Senior")</f>
        <v>Adult</v>
      </c>
      <c r="L516" s="4" t="s">
        <v>21</v>
      </c>
      <c r="M516" s="4">
        <v>3</v>
      </c>
      <c r="N516" s="5">
        <v>300</v>
      </c>
      <c r="O516">
        <f>M516*N516</f>
        <v>900</v>
      </c>
      <c r="P516" s="14">
        <f>O516*$S$3</f>
        <v>13.5</v>
      </c>
    </row>
    <row r="517" spans="1:16">
      <c r="A517" s="2">
        <v>516</v>
      </c>
      <c r="B517" s="4">
        <f>YEAR(G517)</f>
        <v>2023</v>
      </c>
      <c r="C517" s="4">
        <f>MONTH(G517)</f>
        <v>10</v>
      </c>
      <c r="D517" s="4">
        <f>DAY(G517)</f>
        <v>23</v>
      </c>
      <c r="E517" s="4" t="str">
        <f>TEXT(G517, "mmmm")</f>
        <v>October</v>
      </c>
      <c r="F517" s="4" t="str">
        <f>TEXT(G517, "dddd")</f>
        <v>Monday</v>
      </c>
      <c r="G517" s="3">
        <v>45222</v>
      </c>
      <c r="H517" s="4" t="s">
        <v>543</v>
      </c>
      <c r="I517" s="4" t="s">
        <v>16</v>
      </c>
      <c r="J517" s="4">
        <v>30</v>
      </c>
      <c r="K517" s="4" t="str" cm="1">
        <f t="array" ref="K517">_xlfn.IFS(J517&lt;30, "Young Adult", J517&lt;50, "Adult", J517&gt;=50, "Senior")</f>
        <v>Adult</v>
      </c>
      <c r="L517" s="4" t="s">
        <v>17</v>
      </c>
      <c r="M517" s="4">
        <v>4</v>
      </c>
      <c r="N517" s="5">
        <v>25</v>
      </c>
      <c r="O517">
        <f>M517*N517</f>
        <v>100</v>
      </c>
      <c r="P517" s="14">
        <f>O517*$S$3</f>
        <v>1.5</v>
      </c>
    </row>
    <row r="518" spans="1:16">
      <c r="A518" s="2">
        <v>517</v>
      </c>
      <c r="B518" s="4">
        <f>YEAR(G518)</f>
        <v>2023</v>
      </c>
      <c r="C518" s="4">
        <f>MONTH(G518)</f>
        <v>4</v>
      </c>
      <c r="D518" s="4">
        <f>DAY(G518)</f>
        <v>8</v>
      </c>
      <c r="E518" s="4" t="str">
        <f>TEXT(G518, "mmmm")</f>
        <v>April</v>
      </c>
      <c r="F518" s="4" t="str">
        <f>TEXT(G518, "dddd")</f>
        <v>Saturday</v>
      </c>
      <c r="G518" s="3">
        <v>45024</v>
      </c>
      <c r="H518" s="4" t="s">
        <v>544</v>
      </c>
      <c r="I518" s="4" t="s">
        <v>20</v>
      </c>
      <c r="J518" s="4">
        <v>47</v>
      </c>
      <c r="K518" s="4" t="str" cm="1">
        <f t="array" ref="K518">_xlfn.IFS(J518&lt;30, "Young Adult", J518&lt;50, "Adult", J518&gt;=50, "Senior")</f>
        <v>Adult</v>
      </c>
      <c r="L518" s="4" t="s">
        <v>21</v>
      </c>
      <c r="M518" s="4">
        <v>4</v>
      </c>
      <c r="N518" s="5">
        <v>25</v>
      </c>
      <c r="O518">
        <f>M518*N518</f>
        <v>100</v>
      </c>
      <c r="P518" s="14">
        <f>O518*$S$3</f>
        <v>1.5</v>
      </c>
    </row>
    <row r="519" spans="1:16">
      <c r="A519" s="2">
        <v>518</v>
      </c>
      <c r="B519" s="4">
        <f>YEAR(G519)</f>
        <v>2023</v>
      </c>
      <c r="C519" s="4">
        <f>MONTH(G519)</f>
        <v>5</v>
      </c>
      <c r="D519" s="4">
        <f>DAY(G519)</f>
        <v>11</v>
      </c>
      <c r="E519" s="4" t="str">
        <f>TEXT(G519, "mmmm")</f>
        <v>May</v>
      </c>
      <c r="F519" s="4" t="str">
        <f>TEXT(G519, "dddd")</f>
        <v>Thursday</v>
      </c>
      <c r="G519" s="3">
        <v>45057</v>
      </c>
      <c r="H519" s="4" t="s">
        <v>545</v>
      </c>
      <c r="I519" s="4" t="s">
        <v>20</v>
      </c>
      <c r="J519" s="4">
        <v>40</v>
      </c>
      <c r="K519" s="4" t="str" cm="1">
        <f t="array" ref="K519">_xlfn.IFS(J519&lt;30, "Young Adult", J519&lt;50, "Adult", J519&gt;=50, "Senior")</f>
        <v>Adult</v>
      </c>
      <c r="L519" s="4" t="s">
        <v>21</v>
      </c>
      <c r="M519" s="4">
        <v>1</v>
      </c>
      <c r="N519" s="5">
        <v>30</v>
      </c>
      <c r="O519">
        <f>M519*N519</f>
        <v>30</v>
      </c>
      <c r="P519" s="14">
        <f>O519*$S$3</f>
        <v>0.44999999999999996</v>
      </c>
    </row>
    <row r="520" spans="1:16">
      <c r="A520" s="2">
        <v>519</v>
      </c>
      <c r="B520" s="4">
        <f>YEAR(G520)</f>
        <v>2023</v>
      </c>
      <c r="C520" s="4">
        <f>MONTH(G520)</f>
        <v>1</v>
      </c>
      <c r="D520" s="4">
        <f>DAY(G520)</f>
        <v>23</v>
      </c>
      <c r="E520" s="4" t="str">
        <f>TEXT(G520, "mmmm")</f>
        <v>January</v>
      </c>
      <c r="F520" s="4" t="str">
        <f>TEXT(G520, "dddd")</f>
        <v>Monday</v>
      </c>
      <c r="G520" s="3">
        <v>44949</v>
      </c>
      <c r="H520" s="4" t="s">
        <v>546</v>
      </c>
      <c r="I520" s="4" t="s">
        <v>20</v>
      </c>
      <c r="J520" s="4">
        <v>36</v>
      </c>
      <c r="K520" s="4" t="str" cm="1">
        <f t="array" ref="K520">_xlfn.IFS(J520&lt;30, "Young Adult", J520&lt;50, "Adult", J520&gt;=50, "Senior")</f>
        <v>Adult</v>
      </c>
      <c r="L520" s="4" t="s">
        <v>24</v>
      </c>
      <c r="M520" s="4">
        <v>4</v>
      </c>
      <c r="N520" s="5">
        <v>30</v>
      </c>
      <c r="O520">
        <f>M520*N520</f>
        <v>120</v>
      </c>
      <c r="P520" s="14">
        <f>O520*$S$3</f>
        <v>1.7999999999999998</v>
      </c>
    </row>
    <row r="521" spans="1:16">
      <c r="A521" s="2">
        <v>520</v>
      </c>
      <c r="B521" s="4">
        <f>YEAR(G521)</f>
        <v>2023</v>
      </c>
      <c r="C521" s="4">
        <f>MONTH(G521)</f>
        <v>12</v>
      </c>
      <c r="D521" s="4">
        <f>DAY(G521)</f>
        <v>29</v>
      </c>
      <c r="E521" s="4" t="str">
        <f>TEXT(G521, "mmmm")</f>
        <v>December</v>
      </c>
      <c r="F521" s="4" t="str">
        <f>TEXT(G521, "dddd")</f>
        <v>Friday</v>
      </c>
      <c r="G521" s="3">
        <v>45289</v>
      </c>
      <c r="H521" s="4" t="s">
        <v>547</v>
      </c>
      <c r="I521" s="4" t="s">
        <v>20</v>
      </c>
      <c r="J521" s="4">
        <v>49</v>
      </c>
      <c r="K521" s="4" t="str" cm="1">
        <f t="array" ref="K521">_xlfn.IFS(J521&lt;30, "Young Adult", J521&lt;50, "Adult", J521&gt;=50, "Senior")</f>
        <v>Adult</v>
      </c>
      <c r="L521" s="4" t="s">
        <v>24</v>
      </c>
      <c r="M521" s="4">
        <v>4</v>
      </c>
      <c r="N521" s="5">
        <v>25</v>
      </c>
      <c r="O521">
        <f>M521*N521</f>
        <v>100</v>
      </c>
      <c r="P521" s="14">
        <f>O521*$S$3</f>
        <v>1.5</v>
      </c>
    </row>
    <row r="522" spans="1:16">
      <c r="A522" s="2">
        <v>521</v>
      </c>
      <c r="B522" s="4">
        <f>YEAR(G522)</f>
        <v>2023</v>
      </c>
      <c r="C522" s="4">
        <f>MONTH(G522)</f>
        <v>8</v>
      </c>
      <c r="D522" s="4">
        <f>DAY(G522)</f>
        <v>12</v>
      </c>
      <c r="E522" s="4" t="str">
        <f>TEXT(G522, "mmmm")</f>
        <v>August</v>
      </c>
      <c r="F522" s="4" t="str">
        <f>TEXT(G522, "dddd")</f>
        <v>Saturday</v>
      </c>
      <c r="G522" s="3">
        <v>45150</v>
      </c>
      <c r="H522" s="4" t="s">
        <v>548</v>
      </c>
      <c r="I522" s="4" t="s">
        <v>20</v>
      </c>
      <c r="J522" s="4">
        <v>47</v>
      </c>
      <c r="K522" s="4" t="str" cm="1">
        <f t="array" ref="K522">_xlfn.IFS(J522&lt;30, "Young Adult", J522&lt;50, "Adult", J522&gt;=50, "Senior")</f>
        <v>Adult</v>
      </c>
      <c r="L522" s="4" t="s">
        <v>21</v>
      </c>
      <c r="M522" s="4">
        <v>4</v>
      </c>
      <c r="N522" s="5">
        <v>30</v>
      </c>
      <c r="O522">
        <f>M522*N522</f>
        <v>120</v>
      </c>
      <c r="P522" s="14">
        <f>O522*$S$3</f>
        <v>1.7999999999999998</v>
      </c>
    </row>
    <row r="523" spans="1:16">
      <c r="A523" s="2">
        <v>522</v>
      </c>
      <c r="B523" s="4">
        <f>YEAR(G523)</f>
        <v>2023</v>
      </c>
      <c r="C523" s="4">
        <f>MONTH(G523)</f>
        <v>1</v>
      </c>
      <c r="D523" s="4">
        <f>DAY(G523)</f>
        <v>1</v>
      </c>
      <c r="E523" s="4" t="str">
        <f>TEXT(G523, "mmmm")</f>
        <v>January</v>
      </c>
      <c r="F523" s="4" t="str">
        <f>TEXT(G523, "dddd")</f>
        <v>Sunday</v>
      </c>
      <c r="G523" s="3">
        <v>44927</v>
      </c>
      <c r="H523" s="4" t="s">
        <v>549</v>
      </c>
      <c r="I523" s="4" t="s">
        <v>16</v>
      </c>
      <c r="J523" s="4">
        <v>46</v>
      </c>
      <c r="K523" s="4" t="str" cm="1">
        <f t="array" ref="K523">_xlfn.IFS(J523&lt;30, "Young Adult", J523&lt;50, "Adult", J523&gt;=50, "Senior")</f>
        <v>Adult</v>
      </c>
      <c r="L523" s="4" t="s">
        <v>17</v>
      </c>
      <c r="M523" s="4">
        <v>3</v>
      </c>
      <c r="N523" s="5">
        <v>500</v>
      </c>
      <c r="O523">
        <f>M523*N523</f>
        <v>1500</v>
      </c>
      <c r="P523" s="14">
        <f>O523*$S$3</f>
        <v>22.5</v>
      </c>
    </row>
    <row r="524" spans="1:16">
      <c r="A524" s="2">
        <v>523</v>
      </c>
      <c r="B524" s="4">
        <f>YEAR(G524)</f>
        <v>2023</v>
      </c>
      <c r="C524" s="4">
        <f>MONTH(G524)</f>
        <v>9</v>
      </c>
      <c r="D524" s="4">
        <f>DAY(G524)</f>
        <v>24</v>
      </c>
      <c r="E524" s="4" t="str">
        <f>TEXT(G524, "mmmm")</f>
        <v>September</v>
      </c>
      <c r="F524" s="4" t="str">
        <f>TEXT(G524, "dddd")</f>
        <v>Sunday</v>
      </c>
      <c r="G524" s="3">
        <v>45193</v>
      </c>
      <c r="H524" s="4" t="s">
        <v>550</v>
      </c>
      <c r="I524" s="4" t="s">
        <v>20</v>
      </c>
      <c r="J524" s="4">
        <v>62</v>
      </c>
      <c r="K524" s="4" t="str" cm="1">
        <f t="array" ref="K524">_xlfn.IFS(J524&lt;30, "Young Adult", J524&lt;50, "Adult", J524&gt;=50, "Senior")</f>
        <v>Senior</v>
      </c>
      <c r="L524" s="4" t="s">
        <v>24</v>
      </c>
      <c r="M524" s="4">
        <v>1</v>
      </c>
      <c r="N524" s="5">
        <v>300</v>
      </c>
      <c r="O524">
        <f>M524*N524</f>
        <v>300</v>
      </c>
      <c r="P524" s="14">
        <f>O524*$S$3</f>
        <v>4.5</v>
      </c>
    </row>
    <row r="525" spans="1:16">
      <c r="A525" s="2">
        <v>524</v>
      </c>
      <c r="B525" s="4">
        <f>YEAR(G525)</f>
        <v>2023</v>
      </c>
      <c r="C525" s="4">
        <f>MONTH(G525)</f>
        <v>10</v>
      </c>
      <c r="D525" s="4">
        <f>DAY(G525)</f>
        <v>3</v>
      </c>
      <c r="E525" s="4" t="str">
        <f>TEXT(G525, "mmmm")</f>
        <v>October</v>
      </c>
      <c r="F525" s="4" t="str">
        <f>TEXT(G525, "dddd")</f>
        <v>Tuesday</v>
      </c>
      <c r="G525" s="3">
        <v>45202</v>
      </c>
      <c r="H525" s="4" t="s">
        <v>551</v>
      </c>
      <c r="I525" s="4" t="s">
        <v>16</v>
      </c>
      <c r="J525" s="4">
        <v>46</v>
      </c>
      <c r="K525" s="4" t="str" cm="1">
        <f t="array" ref="K525">_xlfn.IFS(J525&lt;30, "Young Adult", J525&lt;50, "Adult", J525&gt;=50, "Senior")</f>
        <v>Adult</v>
      </c>
      <c r="L525" s="4" t="s">
        <v>17</v>
      </c>
      <c r="M525" s="4">
        <v>4</v>
      </c>
      <c r="N525" s="5">
        <v>300</v>
      </c>
      <c r="O525">
        <f>M525*N525</f>
        <v>1200</v>
      </c>
      <c r="P525" s="14">
        <f>O525*$S$3</f>
        <v>18</v>
      </c>
    </row>
    <row r="526" spans="1:16">
      <c r="A526" s="2">
        <v>525</v>
      </c>
      <c r="B526" s="4">
        <f>YEAR(G526)</f>
        <v>2023</v>
      </c>
      <c r="C526" s="4">
        <f>MONTH(G526)</f>
        <v>12</v>
      </c>
      <c r="D526" s="4">
        <f>DAY(G526)</f>
        <v>18</v>
      </c>
      <c r="E526" s="4" t="str">
        <f>TEXT(G526, "mmmm")</f>
        <v>December</v>
      </c>
      <c r="F526" s="4" t="str">
        <f>TEXT(G526, "dddd")</f>
        <v>Monday</v>
      </c>
      <c r="G526" s="3">
        <v>45278</v>
      </c>
      <c r="H526" s="4" t="s">
        <v>552</v>
      </c>
      <c r="I526" s="4" t="s">
        <v>20</v>
      </c>
      <c r="J526" s="4">
        <v>47</v>
      </c>
      <c r="K526" s="4" t="str" cm="1">
        <f t="array" ref="K526">_xlfn.IFS(J526&lt;30, "Young Adult", J526&lt;50, "Adult", J526&gt;=50, "Senior")</f>
        <v>Adult</v>
      </c>
      <c r="L526" s="4" t="s">
        <v>17</v>
      </c>
      <c r="M526" s="4">
        <v>2</v>
      </c>
      <c r="N526" s="5">
        <v>25</v>
      </c>
      <c r="O526">
        <f>M526*N526</f>
        <v>50</v>
      </c>
      <c r="P526" s="14">
        <f>O526*$S$3</f>
        <v>0.75</v>
      </c>
    </row>
    <row r="527" spans="1:16">
      <c r="A527" s="2">
        <v>526</v>
      </c>
      <c r="B527" s="4">
        <f>YEAR(G527)</f>
        <v>2023</v>
      </c>
      <c r="C527" s="4">
        <f>MONTH(G527)</f>
        <v>12</v>
      </c>
      <c r="D527" s="4">
        <f>DAY(G527)</f>
        <v>10</v>
      </c>
      <c r="E527" s="4" t="str">
        <f>TEXT(G527, "mmmm")</f>
        <v>December</v>
      </c>
      <c r="F527" s="4" t="str">
        <f>TEXT(G527, "dddd")</f>
        <v>Sunday</v>
      </c>
      <c r="G527" s="3">
        <v>45270</v>
      </c>
      <c r="H527" s="4" t="s">
        <v>553</v>
      </c>
      <c r="I527" s="4" t="s">
        <v>16</v>
      </c>
      <c r="J527" s="4">
        <v>33</v>
      </c>
      <c r="K527" s="4" t="str" cm="1">
        <f t="array" ref="K527">_xlfn.IFS(J527&lt;30, "Young Adult", J527&lt;50, "Adult", J527&gt;=50, "Senior")</f>
        <v>Adult</v>
      </c>
      <c r="L527" s="4" t="s">
        <v>21</v>
      </c>
      <c r="M527" s="4">
        <v>2</v>
      </c>
      <c r="N527" s="5">
        <v>50</v>
      </c>
      <c r="O527">
        <f>M527*N527</f>
        <v>100</v>
      </c>
      <c r="P527" s="14">
        <f>O527*$S$3</f>
        <v>1.5</v>
      </c>
    </row>
    <row r="528" spans="1:16">
      <c r="A528" s="2">
        <v>527</v>
      </c>
      <c r="B528" s="4">
        <f>YEAR(G528)</f>
        <v>2023</v>
      </c>
      <c r="C528" s="4">
        <f>MONTH(G528)</f>
        <v>4</v>
      </c>
      <c r="D528" s="4">
        <f>DAY(G528)</f>
        <v>11</v>
      </c>
      <c r="E528" s="4" t="str">
        <f>TEXT(G528, "mmmm")</f>
        <v>April</v>
      </c>
      <c r="F528" s="4" t="str">
        <f>TEXT(G528, "dddd")</f>
        <v>Tuesday</v>
      </c>
      <c r="G528" s="3">
        <v>45027</v>
      </c>
      <c r="H528" s="4" t="s">
        <v>554</v>
      </c>
      <c r="I528" s="4" t="s">
        <v>16</v>
      </c>
      <c r="J528" s="4">
        <v>57</v>
      </c>
      <c r="K528" s="4" t="str" cm="1">
        <f t="array" ref="K528">_xlfn.IFS(J528&lt;30, "Young Adult", J528&lt;50, "Adult", J528&gt;=50, "Senior")</f>
        <v>Senior</v>
      </c>
      <c r="L528" s="4" t="s">
        <v>21</v>
      </c>
      <c r="M528" s="4">
        <v>2</v>
      </c>
      <c r="N528" s="5">
        <v>25</v>
      </c>
      <c r="O528">
        <f>M528*N528</f>
        <v>50</v>
      </c>
      <c r="P528" s="14">
        <f>O528*$S$3</f>
        <v>0.75</v>
      </c>
    </row>
    <row r="529" spans="1:16">
      <c r="A529" s="2">
        <v>528</v>
      </c>
      <c r="B529" s="4">
        <f>YEAR(G529)</f>
        <v>2023</v>
      </c>
      <c r="C529" s="4">
        <f>MONTH(G529)</f>
        <v>7</v>
      </c>
      <c r="D529" s="4">
        <f>DAY(G529)</f>
        <v>6</v>
      </c>
      <c r="E529" s="4" t="str">
        <f>TEXT(G529, "mmmm")</f>
        <v>July</v>
      </c>
      <c r="F529" s="4" t="str">
        <f>TEXT(G529, "dddd")</f>
        <v>Thursday</v>
      </c>
      <c r="G529" s="3">
        <v>45113</v>
      </c>
      <c r="H529" s="4" t="s">
        <v>555</v>
      </c>
      <c r="I529" s="4" t="s">
        <v>20</v>
      </c>
      <c r="J529" s="4">
        <v>36</v>
      </c>
      <c r="K529" s="4" t="str" cm="1">
        <f t="array" ref="K529">_xlfn.IFS(J529&lt;30, "Young Adult", J529&lt;50, "Adult", J529&gt;=50, "Senior")</f>
        <v>Adult</v>
      </c>
      <c r="L529" s="4" t="s">
        <v>21</v>
      </c>
      <c r="M529" s="4">
        <v>2</v>
      </c>
      <c r="N529" s="5">
        <v>30</v>
      </c>
      <c r="O529">
        <f>M529*N529</f>
        <v>60</v>
      </c>
      <c r="P529" s="14">
        <f>O529*$S$3</f>
        <v>0.89999999999999991</v>
      </c>
    </row>
    <row r="530" spans="1:16">
      <c r="A530" s="2">
        <v>529</v>
      </c>
      <c r="B530" s="4">
        <f>YEAR(G530)</f>
        <v>2023</v>
      </c>
      <c r="C530" s="4">
        <f>MONTH(G530)</f>
        <v>8</v>
      </c>
      <c r="D530" s="4">
        <f>DAY(G530)</f>
        <v>9</v>
      </c>
      <c r="E530" s="4" t="str">
        <f>TEXT(G530, "mmmm")</f>
        <v>August</v>
      </c>
      <c r="F530" s="4" t="str">
        <f>TEXT(G530, "dddd")</f>
        <v>Wednesday</v>
      </c>
      <c r="G530" s="3">
        <v>45147</v>
      </c>
      <c r="H530" s="4" t="s">
        <v>556</v>
      </c>
      <c r="I530" s="4" t="s">
        <v>20</v>
      </c>
      <c r="J530" s="4">
        <v>35</v>
      </c>
      <c r="K530" s="4" t="str" cm="1">
        <f t="array" ref="K530">_xlfn.IFS(J530&lt;30, "Young Adult", J530&lt;50, "Adult", J530&gt;=50, "Senior")</f>
        <v>Adult</v>
      </c>
      <c r="L530" s="4" t="s">
        <v>21</v>
      </c>
      <c r="M530" s="4">
        <v>3</v>
      </c>
      <c r="N530" s="5">
        <v>50</v>
      </c>
      <c r="O530">
        <f>M530*N530</f>
        <v>150</v>
      </c>
      <c r="P530" s="14">
        <f>O530*$S$3</f>
        <v>2.25</v>
      </c>
    </row>
    <row r="531" spans="1:16">
      <c r="A531" s="2">
        <v>530</v>
      </c>
      <c r="B531" s="4">
        <f>YEAR(G531)</f>
        <v>2023</v>
      </c>
      <c r="C531" s="4">
        <f>MONTH(G531)</f>
        <v>2</v>
      </c>
      <c r="D531" s="4">
        <f>DAY(G531)</f>
        <v>5</v>
      </c>
      <c r="E531" s="4" t="str">
        <f>TEXT(G531, "mmmm")</f>
        <v>February</v>
      </c>
      <c r="F531" s="4" t="str">
        <f>TEXT(G531, "dddd")</f>
        <v>Sunday</v>
      </c>
      <c r="G531" s="3">
        <v>44962</v>
      </c>
      <c r="H531" s="4" t="s">
        <v>557</v>
      </c>
      <c r="I531" s="4" t="s">
        <v>20</v>
      </c>
      <c r="J531" s="4">
        <v>18</v>
      </c>
      <c r="K531" s="4" t="str" cm="1">
        <f t="array" ref="K531">_xlfn.IFS(J531&lt;30, "Young Adult", J531&lt;50, "Adult", J531&gt;=50, "Senior")</f>
        <v>Young Adult</v>
      </c>
      <c r="L531" s="4" t="s">
        <v>24</v>
      </c>
      <c r="M531" s="4">
        <v>4</v>
      </c>
      <c r="N531" s="5">
        <v>30</v>
      </c>
      <c r="O531">
        <f>M531*N531</f>
        <v>120</v>
      </c>
      <c r="P531" s="14">
        <f>O531*$S$3</f>
        <v>1.7999999999999998</v>
      </c>
    </row>
    <row r="532" spans="1:16">
      <c r="A532" s="2">
        <v>531</v>
      </c>
      <c r="B532" s="4">
        <f>YEAR(G532)</f>
        <v>2023</v>
      </c>
      <c r="C532" s="4">
        <f>MONTH(G532)</f>
        <v>12</v>
      </c>
      <c r="D532" s="4">
        <f>DAY(G532)</f>
        <v>7</v>
      </c>
      <c r="E532" s="4" t="str">
        <f>TEXT(G532, "mmmm")</f>
        <v>December</v>
      </c>
      <c r="F532" s="4" t="str">
        <f>TEXT(G532, "dddd")</f>
        <v>Thursday</v>
      </c>
      <c r="G532" s="3">
        <v>45267</v>
      </c>
      <c r="H532" s="4" t="s">
        <v>558</v>
      </c>
      <c r="I532" s="4" t="s">
        <v>16</v>
      </c>
      <c r="J532" s="4">
        <v>31</v>
      </c>
      <c r="K532" s="4" t="str" cm="1">
        <f t="array" ref="K532">_xlfn.IFS(J532&lt;30, "Young Adult", J532&lt;50, "Adult", J532&gt;=50, "Senior")</f>
        <v>Adult</v>
      </c>
      <c r="L532" s="4" t="s">
        <v>24</v>
      </c>
      <c r="M532" s="4">
        <v>1</v>
      </c>
      <c r="N532" s="5">
        <v>500</v>
      </c>
      <c r="O532">
        <f>M532*N532</f>
        <v>500</v>
      </c>
      <c r="P532" s="14">
        <f>O532*$S$3</f>
        <v>7.5</v>
      </c>
    </row>
    <row r="533" spans="1:16">
      <c r="A533" s="2">
        <v>532</v>
      </c>
      <c r="B533" s="4">
        <f>YEAR(G533)</f>
        <v>2023</v>
      </c>
      <c r="C533" s="4">
        <f>MONTH(G533)</f>
        <v>6</v>
      </c>
      <c r="D533" s="4">
        <f>DAY(G533)</f>
        <v>19</v>
      </c>
      <c r="E533" s="4" t="str">
        <f>TEXT(G533, "mmmm")</f>
        <v>June</v>
      </c>
      <c r="F533" s="4" t="str">
        <f>TEXT(G533, "dddd")</f>
        <v>Monday</v>
      </c>
      <c r="G533" s="3">
        <v>45096</v>
      </c>
      <c r="H533" s="4" t="s">
        <v>559</v>
      </c>
      <c r="I533" s="4" t="s">
        <v>20</v>
      </c>
      <c r="J533" s="4">
        <v>64</v>
      </c>
      <c r="K533" s="4" t="str" cm="1">
        <f t="array" ref="K533">_xlfn.IFS(J533&lt;30, "Young Adult", J533&lt;50, "Adult", J533&gt;=50, "Senior")</f>
        <v>Senior</v>
      </c>
      <c r="L533" s="4" t="s">
        <v>21</v>
      </c>
      <c r="M533" s="4">
        <v>4</v>
      </c>
      <c r="N533" s="5">
        <v>30</v>
      </c>
      <c r="O533">
        <f>M533*N533</f>
        <v>120</v>
      </c>
      <c r="P533" s="14">
        <f>O533*$S$3</f>
        <v>1.7999999999999998</v>
      </c>
    </row>
    <row r="534" spans="1:16">
      <c r="A534" s="2">
        <v>533</v>
      </c>
      <c r="B534" s="4">
        <f>YEAR(G534)</f>
        <v>2023</v>
      </c>
      <c r="C534" s="4">
        <f>MONTH(G534)</f>
        <v>11</v>
      </c>
      <c r="D534" s="4">
        <f>DAY(G534)</f>
        <v>16</v>
      </c>
      <c r="E534" s="4" t="str">
        <f>TEXT(G534, "mmmm")</f>
        <v>November</v>
      </c>
      <c r="F534" s="4" t="str">
        <f>TEXT(G534, "dddd")</f>
        <v>Thursday</v>
      </c>
      <c r="G534" s="3">
        <v>45246</v>
      </c>
      <c r="H534" s="4" t="s">
        <v>560</v>
      </c>
      <c r="I534" s="4" t="s">
        <v>16</v>
      </c>
      <c r="J534" s="4">
        <v>19</v>
      </c>
      <c r="K534" s="4" t="str" cm="1">
        <f t="array" ref="K534">_xlfn.IFS(J534&lt;30, "Young Adult", J534&lt;50, "Adult", J534&gt;=50, "Senior")</f>
        <v>Young Adult</v>
      </c>
      <c r="L534" s="4" t="s">
        <v>24</v>
      </c>
      <c r="M534" s="4">
        <v>3</v>
      </c>
      <c r="N534" s="5">
        <v>500</v>
      </c>
      <c r="O534">
        <f>M534*N534</f>
        <v>1500</v>
      </c>
      <c r="P534" s="14">
        <f>O534*$S$3</f>
        <v>22.5</v>
      </c>
    </row>
    <row r="535" spans="1:16">
      <c r="A535" s="2">
        <v>534</v>
      </c>
      <c r="B535" s="4">
        <f>YEAR(G535)</f>
        <v>2023</v>
      </c>
      <c r="C535" s="4">
        <f>MONTH(G535)</f>
        <v>6</v>
      </c>
      <c r="D535" s="4">
        <f>DAY(G535)</f>
        <v>10</v>
      </c>
      <c r="E535" s="4" t="str">
        <f>TEXT(G535, "mmmm")</f>
        <v>June</v>
      </c>
      <c r="F535" s="4" t="str">
        <f>TEXT(G535, "dddd")</f>
        <v>Saturday</v>
      </c>
      <c r="G535" s="3">
        <v>45087</v>
      </c>
      <c r="H535" s="4" t="s">
        <v>561</v>
      </c>
      <c r="I535" s="4" t="s">
        <v>16</v>
      </c>
      <c r="J535" s="4">
        <v>45</v>
      </c>
      <c r="K535" s="4" t="str" cm="1">
        <f t="array" ref="K535">_xlfn.IFS(J535&lt;30, "Young Adult", J535&lt;50, "Adult", J535&gt;=50, "Senior")</f>
        <v>Adult</v>
      </c>
      <c r="L535" s="4" t="s">
        <v>21</v>
      </c>
      <c r="M535" s="4">
        <v>2</v>
      </c>
      <c r="N535" s="5">
        <v>500</v>
      </c>
      <c r="O535">
        <f>M535*N535</f>
        <v>1000</v>
      </c>
      <c r="P535" s="14">
        <f>O535*$S$3</f>
        <v>15</v>
      </c>
    </row>
    <row r="536" spans="1:16">
      <c r="A536" s="2">
        <v>535</v>
      </c>
      <c r="B536" s="4">
        <f>YEAR(G536)</f>
        <v>2023</v>
      </c>
      <c r="C536" s="4">
        <f>MONTH(G536)</f>
        <v>12</v>
      </c>
      <c r="D536" s="4">
        <f>DAY(G536)</f>
        <v>6</v>
      </c>
      <c r="E536" s="4" t="str">
        <f>TEXT(G536, "mmmm")</f>
        <v>December</v>
      </c>
      <c r="F536" s="4" t="str">
        <f>TEXT(G536, "dddd")</f>
        <v>Wednesday</v>
      </c>
      <c r="G536" s="3">
        <v>45266</v>
      </c>
      <c r="H536" s="4" t="s">
        <v>562</v>
      </c>
      <c r="I536" s="4" t="s">
        <v>16</v>
      </c>
      <c r="J536" s="4">
        <v>47</v>
      </c>
      <c r="K536" s="4" t="str" cm="1">
        <f t="array" ref="K536">_xlfn.IFS(J536&lt;30, "Young Adult", J536&lt;50, "Adult", J536&gt;=50, "Senior")</f>
        <v>Adult</v>
      </c>
      <c r="L536" s="4" t="s">
        <v>17</v>
      </c>
      <c r="M536" s="4">
        <v>3</v>
      </c>
      <c r="N536" s="5">
        <v>30</v>
      </c>
      <c r="O536">
        <f>M536*N536</f>
        <v>90</v>
      </c>
      <c r="P536" s="14">
        <f>O536*$S$3</f>
        <v>1.3499999999999999</v>
      </c>
    </row>
    <row r="537" spans="1:16">
      <c r="A537" s="2">
        <v>536</v>
      </c>
      <c r="B537" s="4">
        <f>YEAR(G537)</f>
        <v>2023</v>
      </c>
      <c r="C537" s="4">
        <f>MONTH(G537)</f>
        <v>3</v>
      </c>
      <c r="D537" s="4">
        <f>DAY(G537)</f>
        <v>5</v>
      </c>
      <c r="E537" s="4" t="str">
        <f>TEXT(G537, "mmmm")</f>
        <v>March</v>
      </c>
      <c r="F537" s="4" t="str">
        <f>TEXT(G537, "dddd")</f>
        <v>Sunday</v>
      </c>
      <c r="G537" s="3">
        <v>44990</v>
      </c>
      <c r="H537" s="4" t="s">
        <v>563</v>
      </c>
      <c r="I537" s="4" t="s">
        <v>20</v>
      </c>
      <c r="J537" s="4">
        <v>55</v>
      </c>
      <c r="K537" s="4" t="str" cm="1">
        <f t="array" ref="K537">_xlfn.IFS(J537&lt;30, "Young Adult", J537&lt;50, "Adult", J537&gt;=50, "Senior")</f>
        <v>Senior</v>
      </c>
      <c r="L537" s="4" t="s">
        <v>17</v>
      </c>
      <c r="M537" s="4">
        <v>4</v>
      </c>
      <c r="N537" s="5">
        <v>30</v>
      </c>
      <c r="O537">
        <f>M537*N537</f>
        <v>120</v>
      </c>
      <c r="P537" s="14">
        <f>O537*$S$3</f>
        <v>1.7999999999999998</v>
      </c>
    </row>
    <row r="538" spans="1:16">
      <c r="A538" s="2">
        <v>537</v>
      </c>
      <c r="B538" s="4">
        <f>YEAR(G538)</f>
        <v>2023</v>
      </c>
      <c r="C538" s="4">
        <f>MONTH(G538)</f>
        <v>6</v>
      </c>
      <c r="D538" s="4">
        <f>DAY(G538)</f>
        <v>3</v>
      </c>
      <c r="E538" s="4" t="str">
        <f>TEXT(G538, "mmmm")</f>
        <v>June</v>
      </c>
      <c r="F538" s="4" t="str">
        <f>TEXT(G538, "dddd")</f>
        <v>Saturday</v>
      </c>
      <c r="G538" s="3">
        <v>45080</v>
      </c>
      <c r="H538" s="4" t="s">
        <v>564</v>
      </c>
      <c r="I538" s="4" t="s">
        <v>20</v>
      </c>
      <c r="J538" s="4">
        <v>21</v>
      </c>
      <c r="K538" s="4" t="str" cm="1">
        <f t="array" ref="K538">_xlfn.IFS(J538&lt;30, "Young Adult", J538&lt;50, "Adult", J538&gt;=50, "Senior")</f>
        <v>Young Adult</v>
      </c>
      <c r="L538" s="4" t="s">
        <v>17</v>
      </c>
      <c r="M538" s="4">
        <v>1</v>
      </c>
      <c r="N538" s="5">
        <v>500</v>
      </c>
      <c r="O538">
        <f>M538*N538</f>
        <v>500</v>
      </c>
      <c r="P538" s="14">
        <f>O538*$S$3</f>
        <v>7.5</v>
      </c>
    </row>
    <row r="539" spans="1:16">
      <c r="A539" s="2">
        <v>538</v>
      </c>
      <c r="B539" s="4">
        <f>YEAR(G539)</f>
        <v>2023</v>
      </c>
      <c r="C539" s="4">
        <f>MONTH(G539)</f>
        <v>9</v>
      </c>
      <c r="D539" s="4">
        <f>DAY(G539)</f>
        <v>17</v>
      </c>
      <c r="E539" s="4" t="str">
        <f>TEXT(G539, "mmmm")</f>
        <v>September</v>
      </c>
      <c r="F539" s="4" t="str">
        <f>TEXT(G539, "dddd")</f>
        <v>Sunday</v>
      </c>
      <c r="G539" s="3">
        <v>45186</v>
      </c>
      <c r="H539" s="4" t="s">
        <v>565</v>
      </c>
      <c r="I539" s="4" t="s">
        <v>16</v>
      </c>
      <c r="J539" s="4">
        <v>18</v>
      </c>
      <c r="K539" s="4" t="str" cm="1">
        <f t="array" ref="K539">_xlfn.IFS(J539&lt;30, "Young Adult", J539&lt;50, "Adult", J539&gt;=50, "Senior")</f>
        <v>Young Adult</v>
      </c>
      <c r="L539" s="4" t="s">
        <v>21</v>
      </c>
      <c r="M539" s="4">
        <v>3</v>
      </c>
      <c r="N539" s="5">
        <v>50</v>
      </c>
      <c r="O539">
        <f>M539*N539</f>
        <v>150</v>
      </c>
      <c r="P539" s="14">
        <f>O539*$S$3</f>
        <v>2.25</v>
      </c>
    </row>
    <row r="540" spans="1:16">
      <c r="A540" s="2">
        <v>539</v>
      </c>
      <c r="B540" s="4">
        <f>YEAR(G540)</f>
        <v>2023</v>
      </c>
      <c r="C540" s="4">
        <f>MONTH(G540)</f>
        <v>6</v>
      </c>
      <c r="D540" s="4">
        <f>DAY(G540)</f>
        <v>8</v>
      </c>
      <c r="E540" s="4" t="str">
        <f>TEXT(G540, "mmmm")</f>
        <v>June</v>
      </c>
      <c r="F540" s="4" t="str">
        <f>TEXT(G540, "dddd")</f>
        <v>Thursday</v>
      </c>
      <c r="G540" s="3">
        <v>45085</v>
      </c>
      <c r="H540" s="4" t="s">
        <v>566</v>
      </c>
      <c r="I540" s="4" t="s">
        <v>16</v>
      </c>
      <c r="J540" s="4">
        <v>25</v>
      </c>
      <c r="K540" s="4" t="str" cm="1">
        <f t="array" ref="K540">_xlfn.IFS(J540&lt;30, "Young Adult", J540&lt;50, "Adult", J540&gt;=50, "Senior")</f>
        <v>Young Adult</v>
      </c>
      <c r="L540" s="4" t="s">
        <v>17</v>
      </c>
      <c r="M540" s="4">
        <v>1</v>
      </c>
      <c r="N540" s="5">
        <v>500</v>
      </c>
      <c r="O540">
        <f>M540*N540</f>
        <v>500</v>
      </c>
      <c r="P540" s="14">
        <f>O540*$S$3</f>
        <v>7.5</v>
      </c>
    </row>
    <row r="541" spans="1:16">
      <c r="A541" s="2">
        <v>540</v>
      </c>
      <c r="B541" s="4">
        <f>YEAR(G541)</f>
        <v>2023</v>
      </c>
      <c r="C541" s="4">
        <f>MONTH(G541)</f>
        <v>12</v>
      </c>
      <c r="D541" s="4">
        <f>DAY(G541)</f>
        <v>8</v>
      </c>
      <c r="E541" s="4" t="str">
        <f>TEXT(G541, "mmmm")</f>
        <v>December</v>
      </c>
      <c r="F541" s="4" t="str">
        <f>TEXT(G541, "dddd")</f>
        <v>Friday</v>
      </c>
      <c r="G541" s="3">
        <v>45268</v>
      </c>
      <c r="H541" s="4" t="s">
        <v>567</v>
      </c>
      <c r="I541" s="4" t="s">
        <v>20</v>
      </c>
      <c r="J541" s="4">
        <v>46</v>
      </c>
      <c r="K541" s="4" t="str" cm="1">
        <f t="array" ref="K541">_xlfn.IFS(J541&lt;30, "Young Adult", J541&lt;50, "Adult", J541&gt;=50, "Senior")</f>
        <v>Adult</v>
      </c>
      <c r="L541" s="4" t="s">
        <v>24</v>
      </c>
      <c r="M541" s="4">
        <v>3</v>
      </c>
      <c r="N541" s="5">
        <v>300</v>
      </c>
      <c r="O541">
        <f>M541*N541</f>
        <v>900</v>
      </c>
      <c r="P541" s="14">
        <f>O541*$S$3</f>
        <v>13.5</v>
      </c>
    </row>
    <row r="542" spans="1:16">
      <c r="A542" s="2">
        <v>541</v>
      </c>
      <c r="B542" s="4">
        <f>YEAR(G542)</f>
        <v>2023</v>
      </c>
      <c r="C542" s="4">
        <f>MONTH(G542)</f>
        <v>7</v>
      </c>
      <c r="D542" s="4">
        <f>DAY(G542)</f>
        <v>29</v>
      </c>
      <c r="E542" s="4" t="str">
        <f>TEXT(G542, "mmmm")</f>
        <v>July</v>
      </c>
      <c r="F542" s="4" t="str">
        <f>TEXT(G542, "dddd")</f>
        <v>Saturday</v>
      </c>
      <c r="G542" s="3">
        <v>45136</v>
      </c>
      <c r="H542" s="4" t="s">
        <v>568</v>
      </c>
      <c r="I542" s="4" t="s">
        <v>16</v>
      </c>
      <c r="J542" s="4">
        <v>56</v>
      </c>
      <c r="K542" s="4" t="str" cm="1">
        <f t="array" ref="K542">_xlfn.IFS(J542&lt;30, "Young Adult", J542&lt;50, "Adult", J542&gt;=50, "Senior")</f>
        <v>Senior</v>
      </c>
      <c r="L542" s="4" t="s">
        <v>17</v>
      </c>
      <c r="M542" s="4">
        <v>1</v>
      </c>
      <c r="N542" s="5">
        <v>500</v>
      </c>
      <c r="O542">
        <f>M542*N542</f>
        <v>500</v>
      </c>
      <c r="P542" s="14">
        <f>O542*$S$3</f>
        <v>7.5</v>
      </c>
    </row>
    <row r="543" spans="1:16">
      <c r="A543" s="2">
        <v>542</v>
      </c>
      <c r="B543" s="4">
        <f>YEAR(G543)</f>
        <v>2023</v>
      </c>
      <c r="C543" s="4">
        <f>MONTH(G543)</f>
        <v>6</v>
      </c>
      <c r="D543" s="4">
        <f>DAY(G543)</f>
        <v>17</v>
      </c>
      <c r="E543" s="4" t="str">
        <f>TEXT(G543, "mmmm")</f>
        <v>June</v>
      </c>
      <c r="F543" s="4" t="str">
        <f>TEXT(G543, "dddd")</f>
        <v>Saturday</v>
      </c>
      <c r="G543" s="3">
        <v>45094</v>
      </c>
      <c r="H543" s="4" t="s">
        <v>569</v>
      </c>
      <c r="I543" s="4" t="s">
        <v>20</v>
      </c>
      <c r="J543" s="4">
        <v>20</v>
      </c>
      <c r="K543" s="4" t="str" cm="1">
        <f t="array" ref="K543">_xlfn.IFS(J543&lt;30, "Young Adult", J543&lt;50, "Adult", J543&gt;=50, "Senior")</f>
        <v>Young Adult</v>
      </c>
      <c r="L543" s="4" t="s">
        <v>17</v>
      </c>
      <c r="M543" s="4">
        <v>1</v>
      </c>
      <c r="N543" s="5">
        <v>50</v>
      </c>
      <c r="O543">
        <f>M543*N543</f>
        <v>50</v>
      </c>
      <c r="P543" s="14">
        <f>O543*$S$3</f>
        <v>0.75</v>
      </c>
    </row>
    <row r="544" spans="1:16">
      <c r="A544" s="2">
        <v>543</v>
      </c>
      <c r="B544" s="4">
        <f>YEAR(G544)</f>
        <v>2023</v>
      </c>
      <c r="C544" s="4">
        <f>MONTH(G544)</f>
        <v>7</v>
      </c>
      <c r="D544" s="4">
        <f>DAY(G544)</f>
        <v>26</v>
      </c>
      <c r="E544" s="4" t="str">
        <f>TEXT(G544, "mmmm")</f>
        <v>July</v>
      </c>
      <c r="F544" s="4" t="str">
        <f>TEXT(G544, "dddd")</f>
        <v>Wednesday</v>
      </c>
      <c r="G544" s="3">
        <v>45133</v>
      </c>
      <c r="H544" s="4" t="s">
        <v>570</v>
      </c>
      <c r="I544" s="4" t="s">
        <v>16</v>
      </c>
      <c r="J544" s="4">
        <v>49</v>
      </c>
      <c r="K544" s="4" t="str" cm="1">
        <f t="array" ref="K544">_xlfn.IFS(J544&lt;30, "Young Adult", J544&lt;50, "Adult", J544&gt;=50, "Senior")</f>
        <v>Adult</v>
      </c>
      <c r="L544" s="4" t="s">
        <v>17</v>
      </c>
      <c r="M544" s="4">
        <v>2</v>
      </c>
      <c r="N544" s="5">
        <v>300</v>
      </c>
      <c r="O544">
        <f>M544*N544</f>
        <v>600</v>
      </c>
      <c r="P544" s="14">
        <f>O544*$S$3</f>
        <v>9</v>
      </c>
    </row>
    <row r="545" spans="1:16">
      <c r="A545" s="2">
        <v>544</v>
      </c>
      <c r="B545" s="4">
        <f>YEAR(G545)</f>
        <v>2023</v>
      </c>
      <c r="C545" s="4">
        <f>MONTH(G545)</f>
        <v>12</v>
      </c>
      <c r="D545" s="4">
        <f>DAY(G545)</f>
        <v>23</v>
      </c>
      <c r="E545" s="4" t="str">
        <f>TEXT(G545, "mmmm")</f>
        <v>December</v>
      </c>
      <c r="F545" s="4" t="str">
        <f>TEXT(G545, "dddd")</f>
        <v>Saturday</v>
      </c>
      <c r="G545" s="3">
        <v>45283</v>
      </c>
      <c r="H545" s="4" t="s">
        <v>571</v>
      </c>
      <c r="I545" s="4" t="s">
        <v>20</v>
      </c>
      <c r="J545" s="4">
        <v>27</v>
      </c>
      <c r="K545" s="4" t="str" cm="1">
        <f t="array" ref="K545">_xlfn.IFS(J545&lt;30, "Young Adult", J545&lt;50, "Adult", J545&gt;=50, "Senior")</f>
        <v>Young Adult</v>
      </c>
      <c r="L545" s="4" t="s">
        <v>24</v>
      </c>
      <c r="M545" s="4">
        <v>1</v>
      </c>
      <c r="N545" s="5">
        <v>25</v>
      </c>
      <c r="O545">
        <f>M545*N545</f>
        <v>25</v>
      </c>
      <c r="P545" s="14">
        <f>O545*$S$3</f>
        <v>0.375</v>
      </c>
    </row>
    <row r="546" spans="1:16">
      <c r="A546" s="2">
        <v>545</v>
      </c>
      <c r="B546" s="4">
        <f>YEAR(G546)</f>
        <v>2023</v>
      </c>
      <c r="C546" s="4">
        <f>MONTH(G546)</f>
        <v>6</v>
      </c>
      <c r="D546" s="4">
        <f>DAY(G546)</f>
        <v>1</v>
      </c>
      <c r="E546" s="4" t="str">
        <f>TEXT(G546, "mmmm")</f>
        <v>June</v>
      </c>
      <c r="F546" s="4" t="str">
        <f>TEXT(G546, "dddd")</f>
        <v>Thursday</v>
      </c>
      <c r="G546" s="3">
        <v>45078</v>
      </c>
      <c r="H546" s="4" t="s">
        <v>572</v>
      </c>
      <c r="I546" s="4" t="s">
        <v>16</v>
      </c>
      <c r="J546" s="4">
        <v>27</v>
      </c>
      <c r="K546" s="4" t="str" cm="1">
        <f t="array" ref="K546">_xlfn.IFS(J546&lt;30, "Young Adult", J546&lt;50, "Adult", J546&gt;=50, "Senior")</f>
        <v>Young Adult</v>
      </c>
      <c r="L546" s="4" t="s">
        <v>21</v>
      </c>
      <c r="M546" s="4">
        <v>2</v>
      </c>
      <c r="N546" s="5">
        <v>25</v>
      </c>
      <c r="O546">
        <f>M546*N546</f>
        <v>50</v>
      </c>
      <c r="P546" s="14">
        <f>O546*$S$3</f>
        <v>0.75</v>
      </c>
    </row>
    <row r="547" spans="1:16">
      <c r="A547" s="2">
        <v>546</v>
      </c>
      <c r="B547" s="4">
        <f>YEAR(G547)</f>
        <v>2023</v>
      </c>
      <c r="C547" s="4">
        <f>MONTH(G547)</f>
        <v>10</v>
      </c>
      <c r="D547" s="4">
        <f>DAY(G547)</f>
        <v>11</v>
      </c>
      <c r="E547" s="4" t="str">
        <f>TEXT(G547, "mmmm")</f>
        <v>October</v>
      </c>
      <c r="F547" s="4" t="str">
        <f>TEXT(G547, "dddd")</f>
        <v>Wednesday</v>
      </c>
      <c r="G547" s="3">
        <v>45210</v>
      </c>
      <c r="H547" s="4" t="s">
        <v>573</v>
      </c>
      <c r="I547" s="4" t="s">
        <v>20</v>
      </c>
      <c r="J547" s="4">
        <v>36</v>
      </c>
      <c r="K547" s="4" t="str" cm="1">
        <f t="array" ref="K547">_xlfn.IFS(J547&lt;30, "Young Adult", J547&lt;50, "Adult", J547&gt;=50, "Senior")</f>
        <v>Adult</v>
      </c>
      <c r="L547" s="4" t="s">
        <v>24</v>
      </c>
      <c r="M547" s="4">
        <v>4</v>
      </c>
      <c r="N547" s="5">
        <v>50</v>
      </c>
      <c r="O547">
        <f>M547*N547</f>
        <v>200</v>
      </c>
      <c r="P547" s="14">
        <f>O547*$S$3</f>
        <v>3</v>
      </c>
    </row>
    <row r="548" spans="1:16">
      <c r="A548" s="2">
        <v>547</v>
      </c>
      <c r="B548" s="4">
        <f>YEAR(G548)</f>
        <v>2023</v>
      </c>
      <c r="C548" s="4">
        <f>MONTH(G548)</f>
        <v>3</v>
      </c>
      <c r="D548" s="4">
        <f>DAY(G548)</f>
        <v>7</v>
      </c>
      <c r="E548" s="4" t="str">
        <f>TEXT(G548, "mmmm")</f>
        <v>March</v>
      </c>
      <c r="F548" s="4" t="str">
        <f>TEXT(G548, "dddd")</f>
        <v>Tuesday</v>
      </c>
      <c r="G548" s="3">
        <v>44992</v>
      </c>
      <c r="H548" s="4" t="s">
        <v>574</v>
      </c>
      <c r="I548" s="4" t="s">
        <v>16</v>
      </c>
      <c r="J548" s="4">
        <v>63</v>
      </c>
      <c r="K548" s="4" t="str" cm="1">
        <f t="array" ref="K548">_xlfn.IFS(J548&lt;30, "Young Adult", J548&lt;50, "Adult", J548&gt;=50, "Senior")</f>
        <v>Senior</v>
      </c>
      <c r="L548" s="4" t="s">
        <v>21</v>
      </c>
      <c r="M548" s="4">
        <v>4</v>
      </c>
      <c r="N548" s="5">
        <v>500</v>
      </c>
      <c r="O548">
        <f>M548*N548</f>
        <v>2000</v>
      </c>
      <c r="P548" s="14">
        <f>O548*$S$3</f>
        <v>30</v>
      </c>
    </row>
    <row r="549" spans="1:16">
      <c r="A549" s="2">
        <v>548</v>
      </c>
      <c r="B549" s="4">
        <f>YEAR(G549)</f>
        <v>2023</v>
      </c>
      <c r="C549" s="4">
        <f>MONTH(G549)</f>
        <v>4</v>
      </c>
      <c r="D549" s="4">
        <f>DAY(G549)</f>
        <v>9</v>
      </c>
      <c r="E549" s="4" t="str">
        <f>TEXT(G549, "mmmm")</f>
        <v>April</v>
      </c>
      <c r="F549" s="4" t="str">
        <f>TEXT(G549, "dddd")</f>
        <v>Sunday</v>
      </c>
      <c r="G549" s="3">
        <v>45025</v>
      </c>
      <c r="H549" s="4" t="s">
        <v>575</v>
      </c>
      <c r="I549" s="4" t="s">
        <v>20</v>
      </c>
      <c r="J549" s="4">
        <v>51</v>
      </c>
      <c r="K549" s="4" t="str" cm="1">
        <f t="array" ref="K549">_xlfn.IFS(J549&lt;30, "Young Adult", J549&lt;50, "Adult", J549&gt;=50, "Senior")</f>
        <v>Senior</v>
      </c>
      <c r="L549" s="4" t="s">
        <v>21</v>
      </c>
      <c r="M549" s="4">
        <v>2</v>
      </c>
      <c r="N549" s="5">
        <v>30</v>
      </c>
      <c r="O549">
        <f>M549*N549</f>
        <v>60</v>
      </c>
      <c r="P549" s="14">
        <f>O549*$S$3</f>
        <v>0.89999999999999991</v>
      </c>
    </row>
    <row r="550" spans="1:16">
      <c r="A550" s="2">
        <v>549</v>
      </c>
      <c r="B550" s="4">
        <f>YEAR(G550)</f>
        <v>2023</v>
      </c>
      <c r="C550" s="4">
        <f>MONTH(G550)</f>
        <v>8</v>
      </c>
      <c r="D550" s="4">
        <f>DAY(G550)</f>
        <v>4</v>
      </c>
      <c r="E550" s="4" t="str">
        <f>TEXT(G550, "mmmm")</f>
        <v>August</v>
      </c>
      <c r="F550" s="4" t="str">
        <f>TEXT(G550, "dddd")</f>
        <v>Friday</v>
      </c>
      <c r="G550" s="3">
        <v>45142</v>
      </c>
      <c r="H550" s="4" t="s">
        <v>576</v>
      </c>
      <c r="I550" s="4" t="s">
        <v>20</v>
      </c>
      <c r="J550" s="4">
        <v>50</v>
      </c>
      <c r="K550" s="4" t="str" cm="1">
        <f t="array" ref="K550">_xlfn.IFS(J550&lt;30, "Young Adult", J550&lt;50, "Adult", J550&gt;=50, "Senior")</f>
        <v>Senior</v>
      </c>
      <c r="L550" s="4" t="s">
        <v>17</v>
      </c>
      <c r="M550" s="4">
        <v>2</v>
      </c>
      <c r="N550" s="5">
        <v>50</v>
      </c>
      <c r="O550">
        <f>M550*N550</f>
        <v>100</v>
      </c>
      <c r="P550" s="14">
        <f>O550*$S$3</f>
        <v>1.5</v>
      </c>
    </row>
    <row r="551" spans="1:16">
      <c r="A551" s="2">
        <v>550</v>
      </c>
      <c r="B551" s="4">
        <f>YEAR(G551)</f>
        <v>2023</v>
      </c>
      <c r="C551" s="4">
        <f>MONTH(G551)</f>
        <v>12</v>
      </c>
      <c r="D551" s="4">
        <f>DAY(G551)</f>
        <v>7</v>
      </c>
      <c r="E551" s="4" t="str">
        <f>TEXT(G551, "mmmm")</f>
        <v>December</v>
      </c>
      <c r="F551" s="4" t="str">
        <f>TEXT(G551, "dddd")</f>
        <v>Thursday</v>
      </c>
      <c r="G551" s="3">
        <v>45267</v>
      </c>
      <c r="H551" s="4" t="s">
        <v>577</v>
      </c>
      <c r="I551" s="4" t="s">
        <v>16</v>
      </c>
      <c r="J551" s="4">
        <v>40</v>
      </c>
      <c r="K551" s="4" t="str" cm="1">
        <f t="array" ref="K551">_xlfn.IFS(J551&lt;30, "Young Adult", J551&lt;50, "Adult", J551&gt;=50, "Senior")</f>
        <v>Adult</v>
      </c>
      <c r="L551" s="4" t="s">
        <v>21</v>
      </c>
      <c r="M551" s="4">
        <v>3</v>
      </c>
      <c r="N551" s="5">
        <v>300</v>
      </c>
      <c r="O551">
        <f>M551*N551</f>
        <v>900</v>
      </c>
      <c r="P551" s="14">
        <f>O551*$S$3</f>
        <v>13.5</v>
      </c>
    </row>
    <row r="552" spans="1:16">
      <c r="A552" s="2">
        <v>551</v>
      </c>
      <c r="B552" s="4">
        <f>YEAR(G552)</f>
        <v>2023</v>
      </c>
      <c r="C552" s="4">
        <f>MONTH(G552)</f>
        <v>7</v>
      </c>
      <c r="D552" s="4">
        <f>DAY(G552)</f>
        <v>14</v>
      </c>
      <c r="E552" s="4" t="str">
        <f>TEXT(G552, "mmmm")</f>
        <v>July</v>
      </c>
      <c r="F552" s="4" t="str">
        <f>TEXT(G552, "dddd")</f>
        <v>Friday</v>
      </c>
      <c r="G552" s="3">
        <v>45121</v>
      </c>
      <c r="H552" s="4" t="s">
        <v>578</v>
      </c>
      <c r="I552" s="4" t="s">
        <v>16</v>
      </c>
      <c r="J552" s="4">
        <v>45</v>
      </c>
      <c r="K552" s="4" t="str" cm="1">
        <f t="array" ref="K552">_xlfn.IFS(J552&lt;30, "Young Adult", J552&lt;50, "Adult", J552&gt;=50, "Senior")</f>
        <v>Adult</v>
      </c>
      <c r="L552" s="4" t="s">
        <v>24</v>
      </c>
      <c r="M552" s="4">
        <v>3</v>
      </c>
      <c r="N552" s="5">
        <v>300</v>
      </c>
      <c r="O552">
        <f>M552*N552</f>
        <v>900</v>
      </c>
      <c r="P552" s="14">
        <f>O552*$S$3</f>
        <v>13.5</v>
      </c>
    </row>
    <row r="553" spans="1:16">
      <c r="A553" s="2">
        <v>552</v>
      </c>
      <c r="B553" s="4">
        <f>YEAR(G553)</f>
        <v>2023</v>
      </c>
      <c r="C553" s="4">
        <f>MONTH(G553)</f>
        <v>12</v>
      </c>
      <c r="D553" s="4">
        <f>DAY(G553)</f>
        <v>13</v>
      </c>
      <c r="E553" s="4" t="str">
        <f>TEXT(G553, "mmmm")</f>
        <v>December</v>
      </c>
      <c r="F553" s="4" t="str">
        <f>TEXT(G553, "dddd")</f>
        <v>Wednesday</v>
      </c>
      <c r="G553" s="3">
        <v>45273</v>
      </c>
      <c r="H553" s="4" t="s">
        <v>579</v>
      </c>
      <c r="I553" s="4" t="s">
        <v>20</v>
      </c>
      <c r="J553" s="4">
        <v>49</v>
      </c>
      <c r="K553" s="4" t="str" cm="1">
        <f t="array" ref="K553">_xlfn.IFS(J553&lt;30, "Young Adult", J553&lt;50, "Adult", J553&gt;=50, "Senior")</f>
        <v>Adult</v>
      </c>
      <c r="L553" s="4" t="s">
        <v>24</v>
      </c>
      <c r="M553" s="4">
        <v>3</v>
      </c>
      <c r="N553" s="5">
        <v>25</v>
      </c>
      <c r="O553">
        <f>M553*N553</f>
        <v>75</v>
      </c>
      <c r="P553" s="14">
        <f>O553*$S$3</f>
        <v>1.125</v>
      </c>
    </row>
    <row r="554" spans="1:16">
      <c r="A554" s="2">
        <v>553</v>
      </c>
      <c r="B554" s="4">
        <f>YEAR(G554)</f>
        <v>2023</v>
      </c>
      <c r="C554" s="4">
        <f>MONTH(G554)</f>
        <v>3</v>
      </c>
      <c r="D554" s="4">
        <f>DAY(G554)</f>
        <v>31</v>
      </c>
      <c r="E554" s="4" t="str">
        <f>TEXT(G554, "mmmm")</f>
        <v>March</v>
      </c>
      <c r="F554" s="4" t="str">
        <f>TEXT(G554, "dddd")</f>
        <v>Friday</v>
      </c>
      <c r="G554" s="3">
        <v>45016</v>
      </c>
      <c r="H554" s="4" t="s">
        <v>580</v>
      </c>
      <c r="I554" s="4" t="s">
        <v>16</v>
      </c>
      <c r="J554" s="4">
        <v>24</v>
      </c>
      <c r="K554" s="4" t="str" cm="1">
        <f t="array" ref="K554">_xlfn.IFS(J554&lt;30, "Young Adult", J554&lt;50, "Adult", J554&gt;=50, "Senior")</f>
        <v>Young Adult</v>
      </c>
      <c r="L554" s="4" t="s">
        <v>21</v>
      </c>
      <c r="M554" s="4">
        <v>4</v>
      </c>
      <c r="N554" s="5">
        <v>300</v>
      </c>
      <c r="O554">
        <f>M554*N554</f>
        <v>1200</v>
      </c>
      <c r="P554" s="14">
        <f>O554*$S$3</f>
        <v>18</v>
      </c>
    </row>
    <row r="555" spans="1:16">
      <c r="A555" s="2">
        <v>554</v>
      </c>
      <c r="B555" s="4">
        <f>YEAR(G555)</f>
        <v>2023</v>
      </c>
      <c r="C555" s="4">
        <f>MONTH(G555)</f>
        <v>11</v>
      </c>
      <c r="D555" s="4">
        <f>DAY(G555)</f>
        <v>12</v>
      </c>
      <c r="E555" s="4" t="str">
        <f>TEXT(G555, "mmmm")</f>
        <v>November</v>
      </c>
      <c r="F555" s="4" t="str">
        <f>TEXT(G555, "dddd")</f>
        <v>Sunday</v>
      </c>
      <c r="G555" s="3">
        <v>45242</v>
      </c>
      <c r="H555" s="4" t="s">
        <v>581</v>
      </c>
      <c r="I555" s="4" t="s">
        <v>20</v>
      </c>
      <c r="J555" s="4">
        <v>46</v>
      </c>
      <c r="K555" s="4" t="str" cm="1">
        <f t="array" ref="K555">_xlfn.IFS(J555&lt;30, "Young Adult", J555&lt;50, "Adult", J555&gt;=50, "Senior")</f>
        <v>Adult</v>
      </c>
      <c r="L555" s="4" t="s">
        <v>17</v>
      </c>
      <c r="M555" s="4">
        <v>3</v>
      </c>
      <c r="N555" s="5">
        <v>50</v>
      </c>
      <c r="O555">
        <f>M555*N555</f>
        <v>150</v>
      </c>
      <c r="P555" s="14">
        <f>O555*$S$3</f>
        <v>2.25</v>
      </c>
    </row>
    <row r="556" spans="1:16">
      <c r="A556" s="2">
        <v>555</v>
      </c>
      <c r="B556" s="4">
        <f>YEAR(G556)</f>
        <v>2023</v>
      </c>
      <c r="C556" s="4">
        <f>MONTH(G556)</f>
        <v>10</v>
      </c>
      <c r="D556" s="4">
        <f>DAY(G556)</f>
        <v>19</v>
      </c>
      <c r="E556" s="4" t="str">
        <f>TEXT(G556, "mmmm")</f>
        <v>October</v>
      </c>
      <c r="F556" s="4" t="str">
        <f>TEXT(G556, "dddd")</f>
        <v>Thursday</v>
      </c>
      <c r="G556" s="3">
        <v>45218</v>
      </c>
      <c r="H556" s="4" t="s">
        <v>582</v>
      </c>
      <c r="I556" s="4" t="s">
        <v>16</v>
      </c>
      <c r="J556" s="4">
        <v>25</v>
      </c>
      <c r="K556" s="4" t="str" cm="1">
        <f t="array" ref="K556">_xlfn.IFS(J556&lt;30, "Young Adult", J556&lt;50, "Adult", J556&gt;=50, "Senior")</f>
        <v>Young Adult</v>
      </c>
      <c r="L556" s="4" t="s">
        <v>17</v>
      </c>
      <c r="M556" s="4">
        <v>1</v>
      </c>
      <c r="N556" s="5">
        <v>300</v>
      </c>
      <c r="O556">
        <f>M556*N556</f>
        <v>300</v>
      </c>
      <c r="P556" s="14">
        <f>O556*$S$3</f>
        <v>4.5</v>
      </c>
    </row>
    <row r="557" spans="1:16">
      <c r="A557" s="2">
        <v>556</v>
      </c>
      <c r="B557" s="4">
        <f>YEAR(G557)</f>
        <v>2023</v>
      </c>
      <c r="C557" s="4">
        <f>MONTH(G557)</f>
        <v>6</v>
      </c>
      <c r="D557" s="4">
        <f>DAY(G557)</f>
        <v>4</v>
      </c>
      <c r="E557" s="4" t="str">
        <f>TEXT(G557, "mmmm")</f>
        <v>June</v>
      </c>
      <c r="F557" s="4" t="str">
        <f>TEXT(G557, "dddd")</f>
        <v>Sunday</v>
      </c>
      <c r="G557" s="3">
        <v>45081</v>
      </c>
      <c r="H557" s="4" t="s">
        <v>583</v>
      </c>
      <c r="I557" s="4" t="s">
        <v>20</v>
      </c>
      <c r="J557" s="4">
        <v>18</v>
      </c>
      <c r="K557" s="4" t="str" cm="1">
        <f t="array" ref="K557">_xlfn.IFS(J557&lt;30, "Young Adult", J557&lt;50, "Adult", J557&gt;=50, "Senior")</f>
        <v>Young Adult</v>
      </c>
      <c r="L557" s="4" t="s">
        <v>24</v>
      </c>
      <c r="M557" s="4">
        <v>1</v>
      </c>
      <c r="N557" s="5">
        <v>50</v>
      </c>
      <c r="O557">
        <f>M557*N557</f>
        <v>50</v>
      </c>
      <c r="P557" s="14">
        <f>O557*$S$3</f>
        <v>0.75</v>
      </c>
    </row>
    <row r="558" spans="1:16">
      <c r="A558" s="2">
        <v>557</v>
      </c>
      <c r="B558" s="4">
        <f>YEAR(G558)</f>
        <v>2023</v>
      </c>
      <c r="C558" s="4">
        <f>MONTH(G558)</f>
        <v>7</v>
      </c>
      <c r="D558" s="4">
        <f>DAY(G558)</f>
        <v>27</v>
      </c>
      <c r="E558" s="4" t="str">
        <f>TEXT(G558, "mmmm")</f>
        <v>July</v>
      </c>
      <c r="F558" s="4" t="str">
        <f>TEXT(G558, "dddd")</f>
        <v>Thursday</v>
      </c>
      <c r="G558" s="3">
        <v>45134</v>
      </c>
      <c r="H558" s="4" t="s">
        <v>584</v>
      </c>
      <c r="I558" s="4" t="s">
        <v>20</v>
      </c>
      <c r="J558" s="4">
        <v>20</v>
      </c>
      <c r="K558" s="4" t="str" cm="1">
        <f t="array" ref="K558">_xlfn.IFS(J558&lt;30, "Young Adult", J558&lt;50, "Adult", J558&gt;=50, "Senior")</f>
        <v>Young Adult</v>
      </c>
      <c r="L558" s="4" t="s">
        <v>17</v>
      </c>
      <c r="M558" s="4">
        <v>3</v>
      </c>
      <c r="N558" s="5">
        <v>30</v>
      </c>
      <c r="O558">
        <f>M558*N558</f>
        <v>90</v>
      </c>
      <c r="P558" s="14">
        <f>O558*$S$3</f>
        <v>1.3499999999999999</v>
      </c>
    </row>
    <row r="559" spans="1:16">
      <c r="A559" s="2">
        <v>558</v>
      </c>
      <c r="B559" s="4">
        <f>YEAR(G559)</f>
        <v>2023</v>
      </c>
      <c r="C559" s="4">
        <f>MONTH(G559)</f>
        <v>10</v>
      </c>
      <c r="D559" s="4">
        <f>DAY(G559)</f>
        <v>8</v>
      </c>
      <c r="E559" s="4" t="str">
        <f>TEXT(G559, "mmmm")</f>
        <v>October</v>
      </c>
      <c r="F559" s="4" t="str">
        <f>TEXT(G559, "dddd")</f>
        <v>Sunday</v>
      </c>
      <c r="G559" s="3">
        <v>45207</v>
      </c>
      <c r="H559" s="4" t="s">
        <v>585</v>
      </c>
      <c r="I559" s="4" t="s">
        <v>20</v>
      </c>
      <c r="J559" s="4">
        <v>41</v>
      </c>
      <c r="K559" s="4" t="str" cm="1">
        <f t="array" ref="K559">_xlfn.IFS(J559&lt;30, "Young Adult", J559&lt;50, "Adult", J559&gt;=50, "Senior")</f>
        <v>Adult</v>
      </c>
      <c r="L559" s="4" t="s">
        <v>21</v>
      </c>
      <c r="M559" s="4">
        <v>1</v>
      </c>
      <c r="N559" s="5">
        <v>25</v>
      </c>
      <c r="O559">
        <f>M559*N559</f>
        <v>25</v>
      </c>
      <c r="P559" s="14">
        <f>O559*$S$3</f>
        <v>0.375</v>
      </c>
    </row>
    <row r="560" spans="1:16">
      <c r="A560" s="2">
        <v>559</v>
      </c>
      <c r="B560" s="4">
        <f>YEAR(G560)</f>
        <v>2023</v>
      </c>
      <c r="C560" s="4">
        <f>MONTH(G560)</f>
        <v>1</v>
      </c>
      <c r="D560" s="4">
        <f>DAY(G560)</f>
        <v>1</v>
      </c>
      <c r="E560" s="4" t="str">
        <f>TEXT(G560, "mmmm")</f>
        <v>January</v>
      </c>
      <c r="F560" s="4" t="str">
        <f>TEXT(G560, "dddd")</f>
        <v>Sunday</v>
      </c>
      <c r="G560" s="3">
        <v>44927</v>
      </c>
      <c r="H560" s="4" t="s">
        <v>586</v>
      </c>
      <c r="I560" s="4" t="s">
        <v>20</v>
      </c>
      <c r="J560" s="4">
        <v>40</v>
      </c>
      <c r="K560" s="4" t="str" cm="1">
        <f t="array" ref="K560">_xlfn.IFS(J560&lt;30, "Young Adult", J560&lt;50, "Adult", J560&gt;=50, "Senior")</f>
        <v>Adult</v>
      </c>
      <c r="L560" s="4" t="s">
        <v>21</v>
      </c>
      <c r="M560" s="4">
        <v>4</v>
      </c>
      <c r="N560" s="5">
        <v>300</v>
      </c>
      <c r="O560">
        <f>M560*N560</f>
        <v>1200</v>
      </c>
      <c r="P560" s="14">
        <f>O560*$S$3</f>
        <v>18</v>
      </c>
    </row>
    <row r="561" spans="1:16">
      <c r="A561" s="2">
        <v>560</v>
      </c>
      <c r="B561" s="4">
        <f>YEAR(G561)</f>
        <v>2023</v>
      </c>
      <c r="C561" s="4">
        <f>MONTH(G561)</f>
        <v>6</v>
      </c>
      <c r="D561" s="4">
        <f>DAY(G561)</f>
        <v>5</v>
      </c>
      <c r="E561" s="4" t="str">
        <f>TEXT(G561, "mmmm")</f>
        <v>June</v>
      </c>
      <c r="F561" s="4" t="str">
        <f>TEXT(G561, "dddd")</f>
        <v>Monday</v>
      </c>
      <c r="G561" s="3">
        <v>45082</v>
      </c>
      <c r="H561" s="4" t="s">
        <v>587</v>
      </c>
      <c r="I561" s="4" t="s">
        <v>20</v>
      </c>
      <c r="J561" s="4">
        <v>25</v>
      </c>
      <c r="K561" s="4" t="str" cm="1">
        <f t="array" ref="K561">_xlfn.IFS(J561&lt;30, "Young Adult", J561&lt;50, "Adult", J561&gt;=50, "Senior")</f>
        <v>Young Adult</v>
      </c>
      <c r="L561" s="4" t="s">
        <v>24</v>
      </c>
      <c r="M561" s="4">
        <v>1</v>
      </c>
      <c r="N561" s="5">
        <v>50</v>
      </c>
      <c r="O561">
        <f>M561*N561</f>
        <v>50</v>
      </c>
      <c r="P561" s="14">
        <f>O561*$S$3</f>
        <v>0.75</v>
      </c>
    </row>
    <row r="562" spans="1:16">
      <c r="A562" s="2">
        <v>561</v>
      </c>
      <c r="B562" s="4">
        <f>YEAR(G562)</f>
        <v>2023</v>
      </c>
      <c r="C562" s="4">
        <f>MONTH(G562)</f>
        <v>5</v>
      </c>
      <c r="D562" s="4">
        <f>DAY(G562)</f>
        <v>27</v>
      </c>
      <c r="E562" s="4" t="str">
        <f>TEXT(G562, "mmmm")</f>
        <v>May</v>
      </c>
      <c r="F562" s="4" t="str">
        <f>TEXT(G562, "dddd")</f>
        <v>Saturday</v>
      </c>
      <c r="G562" s="3">
        <v>45073</v>
      </c>
      <c r="H562" s="4" t="s">
        <v>588</v>
      </c>
      <c r="I562" s="4" t="s">
        <v>20</v>
      </c>
      <c r="J562" s="4">
        <v>64</v>
      </c>
      <c r="K562" s="4" t="str" cm="1">
        <f t="array" ref="K562">_xlfn.IFS(J562&lt;30, "Young Adult", J562&lt;50, "Adult", J562&gt;=50, "Senior")</f>
        <v>Senior</v>
      </c>
      <c r="L562" s="4" t="s">
        <v>21</v>
      </c>
      <c r="M562" s="4">
        <v>4</v>
      </c>
      <c r="N562" s="5">
        <v>500</v>
      </c>
      <c r="O562">
        <f>M562*N562</f>
        <v>2000</v>
      </c>
      <c r="P562" s="14">
        <f>O562*$S$3</f>
        <v>30</v>
      </c>
    </row>
    <row r="563" spans="1:16">
      <c r="A563" s="2">
        <v>562</v>
      </c>
      <c r="B563" s="4">
        <f>YEAR(G563)</f>
        <v>2023</v>
      </c>
      <c r="C563" s="4">
        <f>MONTH(G563)</f>
        <v>4</v>
      </c>
      <c r="D563" s="4">
        <f>DAY(G563)</f>
        <v>18</v>
      </c>
      <c r="E563" s="4" t="str">
        <f>TEXT(G563, "mmmm")</f>
        <v>April</v>
      </c>
      <c r="F563" s="4" t="str">
        <f>TEXT(G563, "dddd")</f>
        <v>Tuesday</v>
      </c>
      <c r="G563" s="3">
        <v>45034</v>
      </c>
      <c r="H563" s="4" t="s">
        <v>589</v>
      </c>
      <c r="I563" s="4" t="s">
        <v>16</v>
      </c>
      <c r="J563" s="4">
        <v>54</v>
      </c>
      <c r="K563" s="4" t="str" cm="1">
        <f t="array" ref="K563">_xlfn.IFS(J563&lt;30, "Young Adult", J563&lt;50, "Adult", J563&gt;=50, "Senior")</f>
        <v>Senior</v>
      </c>
      <c r="L563" s="4" t="s">
        <v>24</v>
      </c>
      <c r="M563" s="4">
        <v>2</v>
      </c>
      <c r="N563" s="5">
        <v>25</v>
      </c>
      <c r="O563">
        <f>M563*N563</f>
        <v>50</v>
      </c>
      <c r="P563" s="14">
        <f>O563*$S$3</f>
        <v>0.75</v>
      </c>
    </row>
    <row r="564" spans="1:16">
      <c r="A564" s="2">
        <v>563</v>
      </c>
      <c r="B564" s="4">
        <f>YEAR(G564)</f>
        <v>2023</v>
      </c>
      <c r="C564" s="4">
        <f>MONTH(G564)</f>
        <v>8</v>
      </c>
      <c r="D564" s="4">
        <f>DAY(G564)</f>
        <v>9</v>
      </c>
      <c r="E564" s="4" t="str">
        <f>TEXT(G564, "mmmm")</f>
        <v>August</v>
      </c>
      <c r="F564" s="4" t="str">
        <f>TEXT(G564, "dddd")</f>
        <v>Wednesday</v>
      </c>
      <c r="G564" s="3">
        <v>45147</v>
      </c>
      <c r="H564" s="4" t="s">
        <v>590</v>
      </c>
      <c r="I564" s="4" t="s">
        <v>16</v>
      </c>
      <c r="J564" s="4">
        <v>20</v>
      </c>
      <c r="K564" s="4" t="str" cm="1">
        <f t="array" ref="K564">_xlfn.IFS(J564&lt;30, "Young Adult", J564&lt;50, "Adult", J564&gt;=50, "Senior")</f>
        <v>Young Adult</v>
      </c>
      <c r="L564" s="4" t="s">
        <v>21</v>
      </c>
      <c r="M564" s="4">
        <v>2</v>
      </c>
      <c r="N564" s="5">
        <v>30</v>
      </c>
      <c r="O564">
        <f>M564*N564</f>
        <v>60</v>
      </c>
      <c r="P564" s="14">
        <f>O564*$S$3</f>
        <v>0.89999999999999991</v>
      </c>
    </row>
    <row r="565" spans="1:16">
      <c r="A565" s="2">
        <v>564</v>
      </c>
      <c r="B565" s="4">
        <f>YEAR(G565)</f>
        <v>2023</v>
      </c>
      <c r="C565" s="4">
        <f>MONTH(G565)</f>
        <v>10</v>
      </c>
      <c r="D565" s="4">
        <f>DAY(G565)</f>
        <v>24</v>
      </c>
      <c r="E565" s="4" t="str">
        <f>TEXT(G565, "mmmm")</f>
        <v>October</v>
      </c>
      <c r="F565" s="4" t="str">
        <f>TEXT(G565, "dddd")</f>
        <v>Tuesday</v>
      </c>
      <c r="G565" s="3">
        <v>45223</v>
      </c>
      <c r="H565" s="4" t="s">
        <v>591</v>
      </c>
      <c r="I565" s="4" t="s">
        <v>16</v>
      </c>
      <c r="J565" s="4">
        <v>50</v>
      </c>
      <c r="K565" s="4" t="str" cm="1">
        <f t="array" ref="K565">_xlfn.IFS(J565&lt;30, "Young Adult", J565&lt;50, "Adult", J565&gt;=50, "Senior")</f>
        <v>Senior</v>
      </c>
      <c r="L565" s="4" t="s">
        <v>24</v>
      </c>
      <c r="M565" s="4">
        <v>2</v>
      </c>
      <c r="N565" s="5">
        <v>50</v>
      </c>
      <c r="O565">
        <f>M565*N565</f>
        <v>100</v>
      </c>
      <c r="P565" s="14">
        <f>O565*$S$3</f>
        <v>1.5</v>
      </c>
    </row>
    <row r="566" spans="1:16">
      <c r="A566" s="2">
        <v>565</v>
      </c>
      <c r="B566" s="4">
        <f>YEAR(G566)</f>
        <v>2023</v>
      </c>
      <c r="C566" s="4">
        <f>MONTH(G566)</f>
        <v>11</v>
      </c>
      <c r="D566" s="4">
        <f>DAY(G566)</f>
        <v>7</v>
      </c>
      <c r="E566" s="4" t="str">
        <f>TEXT(G566, "mmmm")</f>
        <v>November</v>
      </c>
      <c r="F566" s="4" t="str">
        <f>TEXT(G566, "dddd")</f>
        <v>Tuesday</v>
      </c>
      <c r="G566" s="3">
        <v>45237</v>
      </c>
      <c r="H566" s="4" t="s">
        <v>592</v>
      </c>
      <c r="I566" s="4" t="s">
        <v>20</v>
      </c>
      <c r="J566" s="4">
        <v>45</v>
      </c>
      <c r="K566" s="4" t="str" cm="1">
        <f t="array" ref="K566">_xlfn.IFS(J566&lt;30, "Young Adult", J566&lt;50, "Adult", J566&gt;=50, "Senior")</f>
        <v>Adult</v>
      </c>
      <c r="L566" s="4" t="s">
        <v>17</v>
      </c>
      <c r="M566" s="4">
        <v>2</v>
      </c>
      <c r="N566" s="5">
        <v>30</v>
      </c>
      <c r="O566">
        <f>M566*N566</f>
        <v>60</v>
      </c>
      <c r="P566" s="14">
        <f>O566*$S$3</f>
        <v>0.89999999999999991</v>
      </c>
    </row>
    <row r="567" spans="1:16">
      <c r="A567" s="2">
        <v>566</v>
      </c>
      <c r="B567" s="4">
        <f>YEAR(G567)</f>
        <v>2023</v>
      </c>
      <c r="C567" s="4">
        <f>MONTH(G567)</f>
        <v>12</v>
      </c>
      <c r="D567" s="4">
        <f>DAY(G567)</f>
        <v>2</v>
      </c>
      <c r="E567" s="4" t="str">
        <f>TEXT(G567, "mmmm")</f>
        <v>December</v>
      </c>
      <c r="F567" s="4" t="str">
        <f>TEXT(G567, "dddd")</f>
        <v>Saturday</v>
      </c>
      <c r="G567" s="3">
        <v>45262</v>
      </c>
      <c r="H567" s="4" t="s">
        <v>593</v>
      </c>
      <c r="I567" s="4" t="s">
        <v>20</v>
      </c>
      <c r="J567" s="4">
        <v>64</v>
      </c>
      <c r="K567" s="4" t="str" cm="1">
        <f t="array" ref="K567">_xlfn.IFS(J567&lt;30, "Young Adult", J567&lt;50, "Adult", J567&gt;=50, "Senior")</f>
        <v>Senior</v>
      </c>
      <c r="L567" s="4" t="s">
        <v>21</v>
      </c>
      <c r="M567" s="4">
        <v>1</v>
      </c>
      <c r="N567" s="5">
        <v>30</v>
      </c>
      <c r="O567">
        <f>M567*N567</f>
        <v>30</v>
      </c>
      <c r="P567" s="14">
        <f>O567*$S$3</f>
        <v>0.44999999999999996</v>
      </c>
    </row>
    <row r="568" spans="1:16">
      <c r="A568" s="2">
        <v>567</v>
      </c>
      <c r="B568" s="4">
        <f>YEAR(G568)</f>
        <v>2023</v>
      </c>
      <c r="C568" s="4">
        <f>MONTH(G568)</f>
        <v>6</v>
      </c>
      <c r="D568" s="4">
        <f>DAY(G568)</f>
        <v>14</v>
      </c>
      <c r="E568" s="4" t="str">
        <f>TEXT(G568, "mmmm")</f>
        <v>June</v>
      </c>
      <c r="F568" s="4" t="str">
        <f>TEXT(G568, "dddd")</f>
        <v>Wednesday</v>
      </c>
      <c r="G568" s="3">
        <v>45091</v>
      </c>
      <c r="H568" s="4" t="s">
        <v>594</v>
      </c>
      <c r="I568" s="4" t="s">
        <v>20</v>
      </c>
      <c r="J568" s="4">
        <v>25</v>
      </c>
      <c r="K568" s="4" t="str" cm="1">
        <f t="array" ref="K568">_xlfn.IFS(J568&lt;30, "Young Adult", J568&lt;50, "Adult", J568&gt;=50, "Senior")</f>
        <v>Young Adult</v>
      </c>
      <c r="L568" s="4" t="s">
        <v>21</v>
      </c>
      <c r="M568" s="4">
        <v>3</v>
      </c>
      <c r="N568" s="5">
        <v>300</v>
      </c>
      <c r="O568">
        <f>M568*N568</f>
        <v>900</v>
      </c>
      <c r="P568" s="14">
        <f>O568*$S$3</f>
        <v>13.5</v>
      </c>
    </row>
    <row r="569" spans="1:16">
      <c r="A569" s="2">
        <v>568</v>
      </c>
      <c r="B569" s="4">
        <f>YEAR(G569)</f>
        <v>2023</v>
      </c>
      <c r="C569" s="4">
        <f>MONTH(G569)</f>
        <v>8</v>
      </c>
      <c r="D569" s="4">
        <f>DAY(G569)</f>
        <v>27</v>
      </c>
      <c r="E569" s="4" t="str">
        <f>TEXT(G569, "mmmm")</f>
        <v>August</v>
      </c>
      <c r="F569" s="4" t="str">
        <f>TEXT(G569, "dddd")</f>
        <v>Sunday</v>
      </c>
      <c r="G569" s="3">
        <v>45165</v>
      </c>
      <c r="H569" s="4" t="s">
        <v>595</v>
      </c>
      <c r="I569" s="4" t="s">
        <v>20</v>
      </c>
      <c r="J569" s="4">
        <v>51</v>
      </c>
      <c r="K569" s="4" t="str" cm="1">
        <f t="array" ref="K569">_xlfn.IFS(J569&lt;30, "Young Adult", J569&lt;50, "Adult", J569&gt;=50, "Senior")</f>
        <v>Senior</v>
      </c>
      <c r="L569" s="4" t="s">
        <v>24</v>
      </c>
      <c r="M569" s="4">
        <v>1</v>
      </c>
      <c r="N569" s="5">
        <v>300</v>
      </c>
      <c r="O569">
        <f>M569*N569</f>
        <v>300</v>
      </c>
      <c r="P569" s="14">
        <f>O569*$S$3</f>
        <v>4.5</v>
      </c>
    </row>
    <row r="570" spans="1:16">
      <c r="A570" s="2">
        <v>569</v>
      </c>
      <c r="B570" s="4">
        <f>YEAR(G570)</f>
        <v>2023</v>
      </c>
      <c r="C570" s="4">
        <f>MONTH(G570)</f>
        <v>8</v>
      </c>
      <c r="D570" s="4">
        <f>DAY(G570)</f>
        <v>15</v>
      </c>
      <c r="E570" s="4" t="str">
        <f>TEXT(G570, "mmmm")</f>
        <v>August</v>
      </c>
      <c r="F570" s="4" t="str">
        <f>TEXT(G570, "dddd")</f>
        <v>Tuesday</v>
      </c>
      <c r="G570" s="3">
        <v>45153</v>
      </c>
      <c r="H570" s="4" t="s">
        <v>596</v>
      </c>
      <c r="I570" s="4" t="s">
        <v>16</v>
      </c>
      <c r="J570" s="4">
        <v>52</v>
      </c>
      <c r="K570" s="4" t="str" cm="1">
        <f t="array" ref="K570">_xlfn.IFS(J570&lt;30, "Young Adult", J570&lt;50, "Adult", J570&gt;=50, "Senior")</f>
        <v>Senior</v>
      </c>
      <c r="L570" s="4" t="s">
        <v>24</v>
      </c>
      <c r="M570" s="4">
        <v>4</v>
      </c>
      <c r="N570" s="5">
        <v>50</v>
      </c>
      <c r="O570">
        <f>M570*N570</f>
        <v>200</v>
      </c>
      <c r="P570" s="14">
        <f>O570*$S$3</f>
        <v>3</v>
      </c>
    </row>
    <row r="571" spans="1:16">
      <c r="A571" s="2">
        <v>570</v>
      </c>
      <c r="B571" s="4">
        <f>YEAR(G571)</f>
        <v>2023</v>
      </c>
      <c r="C571" s="4">
        <f>MONTH(G571)</f>
        <v>8</v>
      </c>
      <c r="D571" s="4">
        <f>DAY(G571)</f>
        <v>15</v>
      </c>
      <c r="E571" s="4" t="str">
        <f>TEXT(G571, "mmmm")</f>
        <v>August</v>
      </c>
      <c r="F571" s="4" t="str">
        <f>TEXT(G571, "dddd")</f>
        <v>Tuesday</v>
      </c>
      <c r="G571" s="3">
        <v>45153</v>
      </c>
      <c r="H571" s="4" t="s">
        <v>597</v>
      </c>
      <c r="I571" s="4" t="s">
        <v>16</v>
      </c>
      <c r="J571" s="4">
        <v>49</v>
      </c>
      <c r="K571" s="4" t="str" cm="1">
        <f t="array" ref="K571">_xlfn.IFS(J571&lt;30, "Young Adult", J571&lt;50, "Adult", J571&gt;=50, "Senior")</f>
        <v>Adult</v>
      </c>
      <c r="L571" s="4" t="s">
        <v>21</v>
      </c>
      <c r="M571" s="4">
        <v>1</v>
      </c>
      <c r="N571" s="5">
        <v>500</v>
      </c>
      <c r="O571">
        <f>M571*N571</f>
        <v>500</v>
      </c>
      <c r="P571" s="14">
        <f>O571*$S$3</f>
        <v>7.5</v>
      </c>
    </row>
    <row r="572" spans="1:16">
      <c r="A572" s="2">
        <v>571</v>
      </c>
      <c r="B572" s="4">
        <f>YEAR(G572)</f>
        <v>2023</v>
      </c>
      <c r="C572" s="4">
        <f>MONTH(G572)</f>
        <v>12</v>
      </c>
      <c r="D572" s="4">
        <f>DAY(G572)</f>
        <v>12</v>
      </c>
      <c r="E572" s="4" t="str">
        <f>TEXT(G572, "mmmm")</f>
        <v>December</v>
      </c>
      <c r="F572" s="4" t="str">
        <f>TEXT(G572, "dddd")</f>
        <v>Tuesday</v>
      </c>
      <c r="G572" s="3">
        <v>45272</v>
      </c>
      <c r="H572" s="4" t="s">
        <v>598</v>
      </c>
      <c r="I572" s="4" t="s">
        <v>20</v>
      </c>
      <c r="J572" s="4">
        <v>41</v>
      </c>
      <c r="K572" s="4" t="str" cm="1">
        <f t="array" ref="K572">_xlfn.IFS(J572&lt;30, "Young Adult", J572&lt;50, "Adult", J572&gt;=50, "Senior")</f>
        <v>Adult</v>
      </c>
      <c r="L572" s="4" t="s">
        <v>24</v>
      </c>
      <c r="M572" s="4">
        <v>1</v>
      </c>
      <c r="N572" s="5">
        <v>50</v>
      </c>
      <c r="O572">
        <f>M572*N572</f>
        <v>50</v>
      </c>
      <c r="P572" s="14">
        <f>O572*$S$3</f>
        <v>0.75</v>
      </c>
    </row>
    <row r="573" spans="1:16">
      <c r="A573" s="2">
        <v>572</v>
      </c>
      <c r="B573" s="4">
        <f>YEAR(G573)</f>
        <v>2023</v>
      </c>
      <c r="C573" s="4">
        <f>MONTH(G573)</f>
        <v>4</v>
      </c>
      <c r="D573" s="4">
        <f>DAY(G573)</f>
        <v>20</v>
      </c>
      <c r="E573" s="4" t="str">
        <f>TEXT(G573, "mmmm")</f>
        <v>April</v>
      </c>
      <c r="F573" s="4" t="str">
        <f>TEXT(G573, "dddd")</f>
        <v>Thursday</v>
      </c>
      <c r="G573" s="3">
        <v>45036</v>
      </c>
      <c r="H573" s="4" t="s">
        <v>599</v>
      </c>
      <c r="I573" s="4" t="s">
        <v>16</v>
      </c>
      <c r="J573" s="4">
        <v>31</v>
      </c>
      <c r="K573" s="4" t="str" cm="1">
        <f t="array" ref="K573">_xlfn.IFS(J573&lt;30, "Young Adult", J573&lt;50, "Adult", J573&gt;=50, "Senior")</f>
        <v>Adult</v>
      </c>
      <c r="L573" s="4" t="s">
        <v>21</v>
      </c>
      <c r="M573" s="4">
        <v>4</v>
      </c>
      <c r="N573" s="5">
        <v>500</v>
      </c>
      <c r="O573">
        <f>M573*N573</f>
        <v>2000</v>
      </c>
      <c r="P573" s="14">
        <f>O573*$S$3</f>
        <v>30</v>
      </c>
    </row>
    <row r="574" spans="1:16">
      <c r="A574" s="2">
        <v>573</v>
      </c>
      <c r="B574" s="4">
        <f>YEAR(G574)</f>
        <v>2023</v>
      </c>
      <c r="C574" s="4">
        <f>MONTH(G574)</f>
        <v>9</v>
      </c>
      <c r="D574" s="4">
        <f>DAY(G574)</f>
        <v>19</v>
      </c>
      <c r="E574" s="4" t="str">
        <f>TEXT(G574, "mmmm")</f>
        <v>September</v>
      </c>
      <c r="F574" s="4" t="str">
        <f>TEXT(G574, "dddd")</f>
        <v>Tuesday</v>
      </c>
      <c r="G574" s="3">
        <v>45188</v>
      </c>
      <c r="H574" s="4" t="s">
        <v>600</v>
      </c>
      <c r="I574" s="4" t="s">
        <v>16</v>
      </c>
      <c r="J574" s="4">
        <v>49</v>
      </c>
      <c r="K574" s="4" t="str" cm="1">
        <f t="array" ref="K574">_xlfn.IFS(J574&lt;30, "Young Adult", J574&lt;50, "Adult", J574&gt;=50, "Senior")</f>
        <v>Adult</v>
      </c>
      <c r="L574" s="4" t="s">
        <v>17</v>
      </c>
      <c r="M574" s="4">
        <v>2</v>
      </c>
      <c r="N574" s="5">
        <v>30</v>
      </c>
      <c r="O574">
        <f>M574*N574</f>
        <v>60</v>
      </c>
      <c r="P574" s="14">
        <f>O574*$S$3</f>
        <v>0.89999999999999991</v>
      </c>
    </row>
    <row r="575" spans="1:16">
      <c r="A575" s="2">
        <v>574</v>
      </c>
      <c r="B575" s="4">
        <f>YEAR(G575)</f>
        <v>2023</v>
      </c>
      <c r="C575" s="4">
        <f>MONTH(G575)</f>
        <v>8</v>
      </c>
      <c r="D575" s="4">
        <f>DAY(G575)</f>
        <v>31</v>
      </c>
      <c r="E575" s="4" t="str">
        <f>TEXT(G575, "mmmm")</f>
        <v>August</v>
      </c>
      <c r="F575" s="4" t="str">
        <f>TEXT(G575, "dddd")</f>
        <v>Thursday</v>
      </c>
      <c r="G575" s="3">
        <v>45169</v>
      </c>
      <c r="H575" s="4" t="s">
        <v>601</v>
      </c>
      <c r="I575" s="4" t="s">
        <v>20</v>
      </c>
      <c r="J575" s="4">
        <v>63</v>
      </c>
      <c r="K575" s="4" t="str" cm="1">
        <f t="array" ref="K575">_xlfn.IFS(J575&lt;30, "Young Adult", J575&lt;50, "Adult", J575&gt;=50, "Senior")</f>
        <v>Senior</v>
      </c>
      <c r="L575" s="4" t="s">
        <v>24</v>
      </c>
      <c r="M575" s="4">
        <v>2</v>
      </c>
      <c r="N575" s="5">
        <v>25</v>
      </c>
      <c r="O575">
        <f>M575*N575</f>
        <v>50</v>
      </c>
      <c r="P575" s="14">
        <f>O575*$S$3</f>
        <v>0.75</v>
      </c>
    </row>
    <row r="576" spans="1:16">
      <c r="A576" s="2">
        <v>575</v>
      </c>
      <c r="B576" s="4">
        <f>YEAR(G576)</f>
        <v>2023</v>
      </c>
      <c r="C576" s="4">
        <f>MONTH(G576)</f>
        <v>3</v>
      </c>
      <c r="D576" s="4">
        <f>DAY(G576)</f>
        <v>28</v>
      </c>
      <c r="E576" s="4" t="str">
        <f>TEXT(G576, "mmmm")</f>
        <v>March</v>
      </c>
      <c r="F576" s="4" t="str">
        <f>TEXT(G576, "dddd")</f>
        <v>Tuesday</v>
      </c>
      <c r="G576" s="3">
        <v>45013</v>
      </c>
      <c r="H576" s="4" t="s">
        <v>602</v>
      </c>
      <c r="I576" s="4" t="s">
        <v>16</v>
      </c>
      <c r="J576" s="4">
        <v>60</v>
      </c>
      <c r="K576" s="4" t="str" cm="1">
        <f t="array" ref="K576">_xlfn.IFS(J576&lt;30, "Young Adult", J576&lt;50, "Adult", J576&gt;=50, "Senior")</f>
        <v>Senior</v>
      </c>
      <c r="L576" s="4" t="s">
        <v>21</v>
      </c>
      <c r="M576" s="4">
        <v>2</v>
      </c>
      <c r="N576" s="5">
        <v>50</v>
      </c>
      <c r="O576">
        <f>M576*N576</f>
        <v>100</v>
      </c>
      <c r="P576" s="14">
        <f>O576*$S$3</f>
        <v>1.5</v>
      </c>
    </row>
    <row r="577" spans="1:16">
      <c r="A577" s="2">
        <v>576</v>
      </c>
      <c r="B577" s="4">
        <f>YEAR(G577)</f>
        <v>2023</v>
      </c>
      <c r="C577" s="4">
        <f>MONTH(G577)</f>
        <v>12</v>
      </c>
      <c r="D577" s="4">
        <f>DAY(G577)</f>
        <v>4</v>
      </c>
      <c r="E577" s="4" t="str">
        <f>TEXT(G577, "mmmm")</f>
        <v>December</v>
      </c>
      <c r="F577" s="4" t="str">
        <f>TEXT(G577, "dddd")</f>
        <v>Monday</v>
      </c>
      <c r="G577" s="3">
        <v>45264</v>
      </c>
      <c r="H577" s="4" t="s">
        <v>603</v>
      </c>
      <c r="I577" s="4" t="s">
        <v>20</v>
      </c>
      <c r="J577" s="4">
        <v>33</v>
      </c>
      <c r="K577" s="4" t="str" cm="1">
        <f t="array" ref="K577">_xlfn.IFS(J577&lt;30, "Young Adult", J577&lt;50, "Adult", J577&gt;=50, "Senior")</f>
        <v>Adult</v>
      </c>
      <c r="L577" s="4" t="s">
        <v>17</v>
      </c>
      <c r="M577" s="4">
        <v>3</v>
      </c>
      <c r="N577" s="5">
        <v>50</v>
      </c>
      <c r="O577">
        <f>M577*N577</f>
        <v>150</v>
      </c>
      <c r="P577" s="14">
        <f>O577*$S$3</f>
        <v>2.25</v>
      </c>
    </row>
    <row r="578" spans="1:16">
      <c r="A578" s="2">
        <v>577</v>
      </c>
      <c r="B578" s="4">
        <f>YEAR(G578)</f>
        <v>2023</v>
      </c>
      <c r="C578" s="4">
        <f>MONTH(G578)</f>
        <v>2</v>
      </c>
      <c r="D578" s="4">
        <f>DAY(G578)</f>
        <v>13</v>
      </c>
      <c r="E578" s="4" t="str">
        <f>TEXT(G578, "mmmm")</f>
        <v>February</v>
      </c>
      <c r="F578" s="4" t="str">
        <f>TEXT(G578, "dddd")</f>
        <v>Monday</v>
      </c>
      <c r="G578" s="3">
        <v>44970</v>
      </c>
      <c r="H578" s="4" t="s">
        <v>604</v>
      </c>
      <c r="I578" s="4" t="s">
        <v>16</v>
      </c>
      <c r="J578" s="4">
        <v>21</v>
      </c>
      <c r="K578" s="4" t="str" cm="1">
        <f t="array" ref="K578">_xlfn.IFS(J578&lt;30, "Young Adult", J578&lt;50, "Adult", J578&gt;=50, "Senior")</f>
        <v>Young Adult</v>
      </c>
      <c r="L578" s="4" t="s">
        <v>17</v>
      </c>
      <c r="M578" s="4">
        <v>4</v>
      </c>
      <c r="N578" s="5">
        <v>500</v>
      </c>
      <c r="O578">
        <f>M578*N578</f>
        <v>2000</v>
      </c>
      <c r="P578" s="14">
        <f>O578*$S$3</f>
        <v>30</v>
      </c>
    </row>
    <row r="579" spans="1:16">
      <c r="A579" s="2">
        <v>578</v>
      </c>
      <c r="B579" s="4">
        <f>YEAR(G579)</f>
        <v>2023</v>
      </c>
      <c r="C579" s="4">
        <f>MONTH(G579)</f>
        <v>5</v>
      </c>
      <c r="D579" s="4">
        <f>DAY(G579)</f>
        <v>26</v>
      </c>
      <c r="E579" s="4" t="str">
        <f>TEXT(G579, "mmmm")</f>
        <v>May</v>
      </c>
      <c r="F579" s="4" t="str">
        <f>TEXT(G579, "dddd")</f>
        <v>Friday</v>
      </c>
      <c r="G579" s="3">
        <v>45072</v>
      </c>
      <c r="H579" s="4" t="s">
        <v>605</v>
      </c>
      <c r="I579" s="4" t="s">
        <v>20</v>
      </c>
      <c r="J579" s="4">
        <v>54</v>
      </c>
      <c r="K579" s="4" t="str" cm="1">
        <f t="array" ref="K579">_xlfn.IFS(J579&lt;30, "Young Adult", J579&lt;50, "Adult", J579&gt;=50, "Senior")</f>
        <v>Senior</v>
      </c>
      <c r="L579" s="4" t="s">
        <v>21</v>
      </c>
      <c r="M579" s="4">
        <v>4</v>
      </c>
      <c r="N579" s="5">
        <v>30</v>
      </c>
      <c r="O579">
        <f>M579*N579</f>
        <v>120</v>
      </c>
      <c r="P579" s="14">
        <f>O579*$S$3</f>
        <v>1.7999999999999998</v>
      </c>
    </row>
    <row r="580" spans="1:16">
      <c r="A580" s="2">
        <v>579</v>
      </c>
      <c r="B580" s="4">
        <f>YEAR(G580)</f>
        <v>2023</v>
      </c>
      <c r="C580" s="4">
        <f>MONTH(G580)</f>
        <v>9</v>
      </c>
      <c r="D580" s="4">
        <f>DAY(G580)</f>
        <v>21</v>
      </c>
      <c r="E580" s="4" t="str">
        <f>TEXT(G580, "mmmm")</f>
        <v>September</v>
      </c>
      <c r="F580" s="4" t="str">
        <f>TEXT(G580, "dddd")</f>
        <v>Thursday</v>
      </c>
      <c r="G580" s="3">
        <v>45190</v>
      </c>
      <c r="H580" s="4" t="s">
        <v>606</v>
      </c>
      <c r="I580" s="4" t="s">
        <v>20</v>
      </c>
      <c r="J580" s="4">
        <v>38</v>
      </c>
      <c r="K580" s="4" t="str" cm="1">
        <f t="array" ref="K580">_xlfn.IFS(J580&lt;30, "Young Adult", J580&lt;50, "Adult", J580&gt;=50, "Senior")</f>
        <v>Adult</v>
      </c>
      <c r="L580" s="4" t="s">
        <v>24</v>
      </c>
      <c r="M580" s="4">
        <v>1</v>
      </c>
      <c r="N580" s="5">
        <v>30</v>
      </c>
      <c r="O580">
        <f>M580*N580</f>
        <v>30</v>
      </c>
      <c r="P580" s="14">
        <f>O580*$S$3</f>
        <v>0.44999999999999996</v>
      </c>
    </row>
    <row r="581" spans="1:16">
      <c r="A581" s="2">
        <v>580</v>
      </c>
      <c r="B581" s="4">
        <f>YEAR(G581)</f>
        <v>2023</v>
      </c>
      <c r="C581" s="4">
        <f>MONTH(G581)</f>
        <v>12</v>
      </c>
      <c r="D581" s="4">
        <f>DAY(G581)</f>
        <v>6</v>
      </c>
      <c r="E581" s="4" t="str">
        <f>TEXT(G581, "mmmm")</f>
        <v>December</v>
      </c>
      <c r="F581" s="4" t="str">
        <f>TEXT(G581, "dddd")</f>
        <v>Wednesday</v>
      </c>
      <c r="G581" s="3">
        <v>45266</v>
      </c>
      <c r="H581" s="4" t="s">
        <v>607</v>
      </c>
      <c r="I581" s="4" t="s">
        <v>20</v>
      </c>
      <c r="J581" s="4">
        <v>31</v>
      </c>
      <c r="K581" s="4" t="str" cm="1">
        <f t="array" ref="K581">_xlfn.IFS(J581&lt;30, "Young Adult", J581&lt;50, "Adult", J581&gt;=50, "Senior")</f>
        <v>Adult</v>
      </c>
      <c r="L581" s="4" t="s">
        <v>21</v>
      </c>
      <c r="M581" s="4">
        <v>3</v>
      </c>
      <c r="N581" s="5">
        <v>500</v>
      </c>
      <c r="O581">
        <f>M581*N581</f>
        <v>1500</v>
      </c>
      <c r="P581" s="14">
        <f>O581*$S$3</f>
        <v>22.5</v>
      </c>
    </row>
    <row r="582" spans="1:16">
      <c r="A582" s="2">
        <v>581</v>
      </c>
      <c r="B582" s="4">
        <f>YEAR(G582)</f>
        <v>2023</v>
      </c>
      <c r="C582" s="4">
        <f>MONTH(G582)</f>
        <v>11</v>
      </c>
      <c r="D582" s="4">
        <f>DAY(G582)</f>
        <v>21</v>
      </c>
      <c r="E582" s="4" t="str">
        <f>TEXT(G582, "mmmm")</f>
        <v>November</v>
      </c>
      <c r="F582" s="4" t="str">
        <f>TEXT(G582, "dddd")</f>
        <v>Tuesday</v>
      </c>
      <c r="G582" s="3">
        <v>45251</v>
      </c>
      <c r="H582" s="4" t="s">
        <v>608</v>
      </c>
      <c r="I582" s="4" t="s">
        <v>20</v>
      </c>
      <c r="J582" s="4">
        <v>48</v>
      </c>
      <c r="K582" s="4" t="str" cm="1">
        <f t="array" ref="K582">_xlfn.IFS(J582&lt;30, "Young Adult", J582&lt;50, "Adult", J582&gt;=50, "Senior")</f>
        <v>Adult</v>
      </c>
      <c r="L582" s="4" t="s">
        <v>17</v>
      </c>
      <c r="M582" s="4">
        <v>2</v>
      </c>
      <c r="N582" s="5">
        <v>30</v>
      </c>
      <c r="O582">
        <f>M582*N582</f>
        <v>60</v>
      </c>
      <c r="P582" s="14">
        <f>O582*$S$3</f>
        <v>0.89999999999999991</v>
      </c>
    </row>
    <row r="583" spans="1:16">
      <c r="A583" s="2">
        <v>582</v>
      </c>
      <c r="B583" s="4">
        <f>YEAR(G583)</f>
        <v>2023</v>
      </c>
      <c r="C583" s="4">
        <f>MONTH(G583)</f>
        <v>11</v>
      </c>
      <c r="D583" s="4">
        <f>DAY(G583)</f>
        <v>14</v>
      </c>
      <c r="E583" s="4" t="str">
        <f>TEXT(G583, "mmmm")</f>
        <v>November</v>
      </c>
      <c r="F583" s="4" t="str">
        <f>TEXT(G583, "dddd")</f>
        <v>Tuesday</v>
      </c>
      <c r="G583" s="3">
        <v>45244</v>
      </c>
      <c r="H583" s="4" t="s">
        <v>609</v>
      </c>
      <c r="I583" s="4" t="s">
        <v>16</v>
      </c>
      <c r="J583" s="4">
        <v>35</v>
      </c>
      <c r="K583" s="4" t="str" cm="1">
        <f t="array" ref="K583">_xlfn.IFS(J583&lt;30, "Young Adult", J583&lt;50, "Adult", J583&gt;=50, "Senior")</f>
        <v>Adult</v>
      </c>
      <c r="L583" s="4" t="s">
        <v>21</v>
      </c>
      <c r="M583" s="4">
        <v>3</v>
      </c>
      <c r="N583" s="5">
        <v>300</v>
      </c>
      <c r="O583">
        <f>M583*N583</f>
        <v>900</v>
      </c>
      <c r="P583" s="14">
        <f>O583*$S$3</f>
        <v>13.5</v>
      </c>
    </row>
    <row r="584" spans="1:16">
      <c r="A584" s="2">
        <v>583</v>
      </c>
      <c r="B584" s="4">
        <f>YEAR(G584)</f>
        <v>2023</v>
      </c>
      <c r="C584" s="4">
        <f>MONTH(G584)</f>
        <v>6</v>
      </c>
      <c r="D584" s="4">
        <f>DAY(G584)</f>
        <v>21</v>
      </c>
      <c r="E584" s="4" t="str">
        <f>TEXT(G584, "mmmm")</f>
        <v>June</v>
      </c>
      <c r="F584" s="4" t="str">
        <f>TEXT(G584, "dddd")</f>
        <v>Wednesday</v>
      </c>
      <c r="G584" s="3">
        <v>45098</v>
      </c>
      <c r="H584" s="4" t="s">
        <v>610</v>
      </c>
      <c r="I584" s="4" t="s">
        <v>20</v>
      </c>
      <c r="J584" s="4">
        <v>24</v>
      </c>
      <c r="K584" s="4" t="str" cm="1">
        <f t="array" ref="K584">_xlfn.IFS(J584&lt;30, "Young Adult", J584&lt;50, "Adult", J584&gt;=50, "Senior")</f>
        <v>Young Adult</v>
      </c>
      <c r="L584" s="4" t="s">
        <v>24</v>
      </c>
      <c r="M584" s="4">
        <v>4</v>
      </c>
      <c r="N584" s="5">
        <v>25</v>
      </c>
      <c r="O584">
        <f>M584*N584</f>
        <v>100</v>
      </c>
      <c r="P584" s="14">
        <f>O584*$S$3</f>
        <v>1.5</v>
      </c>
    </row>
    <row r="585" spans="1:16">
      <c r="A585" s="2">
        <v>584</v>
      </c>
      <c r="B585" s="4">
        <f>YEAR(G585)</f>
        <v>2023</v>
      </c>
      <c r="C585" s="4">
        <f>MONTH(G585)</f>
        <v>2</v>
      </c>
      <c r="D585" s="4">
        <f>DAY(G585)</f>
        <v>17</v>
      </c>
      <c r="E585" s="4" t="str">
        <f>TEXT(G585, "mmmm")</f>
        <v>February</v>
      </c>
      <c r="F585" s="4" t="str">
        <f>TEXT(G585, "dddd")</f>
        <v>Friday</v>
      </c>
      <c r="G585" s="3">
        <v>44974</v>
      </c>
      <c r="H585" s="4" t="s">
        <v>611</v>
      </c>
      <c r="I585" s="4" t="s">
        <v>20</v>
      </c>
      <c r="J585" s="4">
        <v>27</v>
      </c>
      <c r="K585" s="4" t="str" cm="1">
        <f t="array" ref="K585">_xlfn.IFS(J585&lt;30, "Young Adult", J585&lt;50, "Adult", J585&gt;=50, "Senior")</f>
        <v>Young Adult</v>
      </c>
      <c r="L585" s="4" t="s">
        <v>17</v>
      </c>
      <c r="M585" s="4">
        <v>4</v>
      </c>
      <c r="N585" s="5">
        <v>50</v>
      </c>
      <c r="O585">
        <f>M585*N585</f>
        <v>200</v>
      </c>
      <c r="P585" s="14">
        <f>O585*$S$3</f>
        <v>3</v>
      </c>
    </row>
    <row r="586" spans="1:16">
      <c r="A586" s="2">
        <v>585</v>
      </c>
      <c r="B586" s="4">
        <f>YEAR(G586)</f>
        <v>2023</v>
      </c>
      <c r="C586" s="4">
        <f>MONTH(G586)</f>
        <v>5</v>
      </c>
      <c r="D586" s="4">
        <f>DAY(G586)</f>
        <v>1</v>
      </c>
      <c r="E586" s="4" t="str">
        <f>TEXT(G586, "mmmm")</f>
        <v>May</v>
      </c>
      <c r="F586" s="4" t="str">
        <f>TEXT(G586, "dddd")</f>
        <v>Monday</v>
      </c>
      <c r="G586" s="3">
        <v>45047</v>
      </c>
      <c r="H586" s="4" t="s">
        <v>612</v>
      </c>
      <c r="I586" s="4" t="s">
        <v>20</v>
      </c>
      <c r="J586" s="4">
        <v>24</v>
      </c>
      <c r="K586" s="4" t="str" cm="1">
        <f t="array" ref="K586">_xlfn.IFS(J586&lt;30, "Young Adult", J586&lt;50, "Adult", J586&gt;=50, "Senior")</f>
        <v>Young Adult</v>
      </c>
      <c r="L586" s="4" t="s">
        <v>21</v>
      </c>
      <c r="M586" s="4">
        <v>1</v>
      </c>
      <c r="N586" s="5">
        <v>25</v>
      </c>
      <c r="O586">
        <f>M586*N586</f>
        <v>25</v>
      </c>
      <c r="P586" s="14">
        <f>O586*$S$3</f>
        <v>0.375</v>
      </c>
    </row>
    <row r="587" spans="1:16">
      <c r="A587" s="2">
        <v>586</v>
      </c>
      <c r="B587" s="4">
        <f>YEAR(G587)</f>
        <v>2023</v>
      </c>
      <c r="C587" s="4">
        <f>MONTH(G587)</f>
        <v>12</v>
      </c>
      <c r="D587" s="4">
        <f>DAY(G587)</f>
        <v>11</v>
      </c>
      <c r="E587" s="4" t="str">
        <f>TEXT(G587, "mmmm")</f>
        <v>December</v>
      </c>
      <c r="F587" s="4" t="str">
        <f>TEXT(G587, "dddd")</f>
        <v>Monday</v>
      </c>
      <c r="G587" s="3">
        <v>45271</v>
      </c>
      <c r="H587" s="4" t="s">
        <v>613</v>
      </c>
      <c r="I587" s="4" t="s">
        <v>16</v>
      </c>
      <c r="J587" s="4">
        <v>50</v>
      </c>
      <c r="K587" s="4" t="str" cm="1">
        <f t="array" ref="K587">_xlfn.IFS(J587&lt;30, "Young Adult", J587&lt;50, "Adult", J587&gt;=50, "Senior")</f>
        <v>Senior</v>
      </c>
      <c r="L587" s="4" t="s">
        <v>24</v>
      </c>
      <c r="M587" s="4">
        <v>1</v>
      </c>
      <c r="N587" s="5">
        <v>50</v>
      </c>
      <c r="O587">
        <f>M587*N587</f>
        <v>50</v>
      </c>
      <c r="P587" s="14">
        <f>O587*$S$3</f>
        <v>0.75</v>
      </c>
    </row>
    <row r="588" spans="1:16">
      <c r="A588" s="2">
        <v>587</v>
      </c>
      <c r="B588" s="4">
        <f>YEAR(G588)</f>
        <v>2023</v>
      </c>
      <c r="C588" s="4">
        <f>MONTH(G588)</f>
        <v>6</v>
      </c>
      <c r="D588" s="4">
        <f>DAY(G588)</f>
        <v>8</v>
      </c>
      <c r="E588" s="4" t="str">
        <f>TEXT(G588, "mmmm")</f>
        <v>June</v>
      </c>
      <c r="F588" s="4" t="str">
        <f>TEXT(G588, "dddd")</f>
        <v>Thursday</v>
      </c>
      <c r="G588" s="3">
        <v>45085</v>
      </c>
      <c r="H588" s="4" t="s">
        <v>614</v>
      </c>
      <c r="I588" s="4" t="s">
        <v>20</v>
      </c>
      <c r="J588" s="4">
        <v>40</v>
      </c>
      <c r="K588" s="4" t="str" cm="1">
        <f t="array" ref="K588">_xlfn.IFS(J588&lt;30, "Young Adult", J588&lt;50, "Adult", J588&gt;=50, "Senior")</f>
        <v>Adult</v>
      </c>
      <c r="L588" s="4" t="s">
        <v>17</v>
      </c>
      <c r="M588" s="4">
        <v>4</v>
      </c>
      <c r="N588" s="5">
        <v>300</v>
      </c>
      <c r="O588">
        <f>M588*N588</f>
        <v>1200</v>
      </c>
      <c r="P588" s="14">
        <f>O588*$S$3</f>
        <v>18</v>
      </c>
    </row>
    <row r="589" spans="1:16">
      <c r="A589" s="2">
        <v>588</v>
      </c>
      <c r="B589" s="4">
        <f>YEAR(G589)</f>
        <v>2023</v>
      </c>
      <c r="C589" s="4">
        <f>MONTH(G589)</f>
        <v>4</v>
      </c>
      <c r="D589" s="4">
        <f>DAY(G589)</f>
        <v>26</v>
      </c>
      <c r="E589" s="4" t="str">
        <f>TEXT(G589, "mmmm")</f>
        <v>April</v>
      </c>
      <c r="F589" s="4" t="str">
        <f>TEXT(G589, "dddd")</f>
        <v>Wednesday</v>
      </c>
      <c r="G589" s="3">
        <v>45042</v>
      </c>
      <c r="H589" s="4" t="s">
        <v>615</v>
      </c>
      <c r="I589" s="4" t="s">
        <v>16</v>
      </c>
      <c r="J589" s="4">
        <v>38</v>
      </c>
      <c r="K589" s="4" t="str" cm="1">
        <f t="array" ref="K589">_xlfn.IFS(J589&lt;30, "Young Adult", J589&lt;50, "Adult", J589&gt;=50, "Senior")</f>
        <v>Adult</v>
      </c>
      <c r="L589" s="4" t="s">
        <v>24</v>
      </c>
      <c r="M589" s="4">
        <v>2</v>
      </c>
      <c r="N589" s="5">
        <v>30</v>
      </c>
      <c r="O589">
        <f>M589*N589</f>
        <v>60</v>
      </c>
      <c r="P589" s="14">
        <f>O589*$S$3</f>
        <v>0.89999999999999991</v>
      </c>
    </row>
    <row r="590" spans="1:16">
      <c r="A590" s="2">
        <v>589</v>
      </c>
      <c r="B590" s="4">
        <f>YEAR(G590)</f>
        <v>2023</v>
      </c>
      <c r="C590" s="4">
        <f>MONTH(G590)</f>
        <v>4</v>
      </c>
      <c r="D590" s="4">
        <f>DAY(G590)</f>
        <v>12</v>
      </c>
      <c r="E590" s="4" t="str">
        <f>TEXT(G590, "mmmm")</f>
        <v>April</v>
      </c>
      <c r="F590" s="4" t="str">
        <f>TEXT(G590, "dddd")</f>
        <v>Wednesday</v>
      </c>
      <c r="G590" s="3">
        <v>45028</v>
      </c>
      <c r="H590" s="4" t="s">
        <v>616</v>
      </c>
      <c r="I590" s="4" t="s">
        <v>20</v>
      </c>
      <c r="J590" s="4">
        <v>36</v>
      </c>
      <c r="K590" s="4" t="str" cm="1">
        <f t="array" ref="K590">_xlfn.IFS(J590&lt;30, "Young Adult", J590&lt;50, "Adult", J590&gt;=50, "Senior")</f>
        <v>Adult</v>
      </c>
      <c r="L590" s="4" t="s">
        <v>17</v>
      </c>
      <c r="M590" s="4">
        <v>2</v>
      </c>
      <c r="N590" s="5">
        <v>500</v>
      </c>
      <c r="O590">
        <f>M590*N590</f>
        <v>1000</v>
      </c>
      <c r="P590" s="14">
        <f>O590*$S$3</f>
        <v>15</v>
      </c>
    </row>
    <row r="591" spans="1:16">
      <c r="A591" s="2">
        <v>590</v>
      </c>
      <c r="B591" s="4">
        <f>YEAR(G591)</f>
        <v>2023</v>
      </c>
      <c r="C591" s="4">
        <f>MONTH(G591)</f>
        <v>3</v>
      </c>
      <c r="D591" s="4">
        <f>DAY(G591)</f>
        <v>17</v>
      </c>
      <c r="E591" s="4" t="str">
        <f>TEXT(G591, "mmmm")</f>
        <v>March</v>
      </c>
      <c r="F591" s="4" t="str">
        <f>TEXT(G591, "dddd")</f>
        <v>Friday</v>
      </c>
      <c r="G591" s="3">
        <v>45002</v>
      </c>
      <c r="H591" s="4" t="s">
        <v>617</v>
      </c>
      <c r="I591" s="4" t="s">
        <v>16</v>
      </c>
      <c r="J591" s="4">
        <v>36</v>
      </c>
      <c r="K591" s="4" t="str" cm="1">
        <f t="array" ref="K591">_xlfn.IFS(J591&lt;30, "Young Adult", J591&lt;50, "Adult", J591&gt;=50, "Senior")</f>
        <v>Adult</v>
      </c>
      <c r="L591" s="4" t="s">
        <v>21</v>
      </c>
      <c r="M591" s="4">
        <v>3</v>
      </c>
      <c r="N591" s="5">
        <v>300</v>
      </c>
      <c r="O591">
        <f>M591*N591</f>
        <v>900</v>
      </c>
      <c r="P591" s="14">
        <f>O591*$S$3</f>
        <v>13.5</v>
      </c>
    </row>
    <row r="592" spans="1:16">
      <c r="A592" s="2">
        <v>591</v>
      </c>
      <c r="B592" s="4">
        <f>YEAR(G592)</f>
        <v>2023</v>
      </c>
      <c r="C592" s="4">
        <f>MONTH(G592)</f>
        <v>1</v>
      </c>
      <c r="D592" s="4">
        <f>DAY(G592)</f>
        <v>13</v>
      </c>
      <c r="E592" s="4" t="str">
        <f>TEXT(G592, "mmmm")</f>
        <v>January</v>
      </c>
      <c r="F592" s="4" t="str">
        <f>TEXT(G592, "dddd")</f>
        <v>Friday</v>
      </c>
      <c r="G592" s="3">
        <v>44939</v>
      </c>
      <c r="H592" s="4" t="s">
        <v>618</v>
      </c>
      <c r="I592" s="4" t="s">
        <v>16</v>
      </c>
      <c r="J592" s="4">
        <v>53</v>
      </c>
      <c r="K592" s="4" t="str" cm="1">
        <f t="array" ref="K592">_xlfn.IFS(J592&lt;30, "Young Adult", J592&lt;50, "Adult", J592&gt;=50, "Senior")</f>
        <v>Senior</v>
      </c>
      <c r="L592" s="4" t="s">
        <v>24</v>
      </c>
      <c r="M592" s="4">
        <v>4</v>
      </c>
      <c r="N592" s="5">
        <v>25</v>
      </c>
      <c r="O592">
        <f>M592*N592</f>
        <v>100</v>
      </c>
      <c r="P592" s="14">
        <f>O592*$S$3</f>
        <v>1.5</v>
      </c>
    </row>
    <row r="593" spans="1:16">
      <c r="A593" s="2">
        <v>592</v>
      </c>
      <c r="B593" s="4">
        <f>YEAR(G593)</f>
        <v>2023</v>
      </c>
      <c r="C593" s="4">
        <f>MONTH(G593)</f>
        <v>1</v>
      </c>
      <c r="D593" s="4">
        <f>DAY(G593)</f>
        <v>24</v>
      </c>
      <c r="E593" s="4" t="str">
        <f>TEXT(G593, "mmmm")</f>
        <v>January</v>
      </c>
      <c r="F593" s="4" t="str">
        <f>TEXT(G593, "dddd")</f>
        <v>Tuesday</v>
      </c>
      <c r="G593" s="3">
        <v>44950</v>
      </c>
      <c r="H593" s="4" t="s">
        <v>619</v>
      </c>
      <c r="I593" s="4" t="s">
        <v>20</v>
      </c>
      <c r="J593" s="4">
        <v>46</v>
      </c>
      <c r="K593" s="4" t="str" cm="1">
        <f t="array" ref="K593">_xlfn.IFS(J593&lt;30, "Young Adult", J593&lt;50, "Adult", J593&gt;=50, "Senior")</f>
        <v>Adult</v>
      </c>
      <c r="L593" s="4" t="s">
        <v>17</v>
      </c>
      <c r="M593" s="4">
        <v>4</v>
      </c>
      <c r="N593" s="5">
        <v>500</v>
      </c>
      <c r="O593">
        <f>M593*N593</f>
        <v>2000</v>
      </c>
      <c r="P593" s="14">
        <f>O593*$S$3</f>
        <v>30</v>
      </c>
    </row>
    <row r="594" spans="1:16">
      <c r="A594" s="2">
        <v>593</v>
      </c>
      <c r="B594" s="4">
        <f>YEAR(G594)</f>
        <v>2023</v>
      </c>
      <c r="C594" s="4">
        <f>MONTH(G594)</f>
        <v>5</v>
      </c>
      <c r="D594" s="4">
        <f>DAY(G594)</f>
        <v>6</v>
      </c>
      <c r="E594" s="4" t="str">
        <f>TEXT(G594, "mmmm")</f>
        <v>May</v>
      </c>
      <c r="F594" s="4" t="str">
        <f>TEXT(G594, "dddd")</f>
        <v>Saturday</v>
      </c>
      <c r="G594" s="3">
        <v>45052</v>
      </c>
      <c r="H594" s="4" t="s">
        <v>620</v>
      </c>
      <c r="I594" s="4" t="s">
        <v>16</v>
      </c>
      <c r="J594" s="4">
        <v>35</v>
      </c>
      <c r="K594" s="4" t="str" cm="1">
        <f t="array" ref="K594">_xlfn.IFS(J594&lt;30, "Young Adult", J594&lt;50, "Adult", J594&gt;=50, "Senior")</f>
        <v>Adult</v>
      </c>
      <c r="L594" s="4" t="s">
        <v>24</v>
      </c>
      <c r="M594" s="4">
        <v>2</v>
      </c>
      <c r="N594" s="5">
        <v>30</v>
      </c>
      <c r="O594">
        <f>M594*N594</f>
        <v>60</v>
      </c>
      <c r="P594" s="14">
        <f>O594*$S$3</f>
        <v>0.89999999999999991</v>
      </c>
    </row>
    <row r="595" spans="1:16">
      <c r="A595" s="2">
        <v>594</v>
      </c>
      <c r="B595" s="4">
        <f>YEAR(G595)</f>
        <v>2023</v>
      </c>
      <c r="C595" s="4">
        <f>MONTH(G595)</f>
        <v>9</v>
      </c>
      <c r="D595" s="4">
        <f>DAY(G595)</f>
        <v>1</v>
      </c>
      <c r="E595" s="4" t="str">
        <f>TEXT(G595, "mmmm")</f>
        <v>September</v>
      </c>
      <c r="F595" s="4" t="str">
        <f>TEXT(G595, "dddd")</f>
        <v>Friday</v>
      </c>
      <c r="G595" s="3">
        <v>45170</v>
      </c>
      <c r="H595" s="4" t="s">
        <v>621</v>
      </c>
      <c r="I595" s="4" t="s">
        <v>20</v>
      </c>
      <c r="J595" s="4">
        <v>19</v>
      </c>
      <c r="K595" s="4" t="str" cm="1">
        <f t="array" ref="K595">_xlfn.IFS(J595&lt;30, "Young Adult", J595&lt;50, "Adult", J595&gt;=50, "Senior")</f>
        <v>Young Adult</v>
      </c>
      <c r="L595" s="4" t="s">
        <v>24</v>
      </c>
      <c r="M595" s="4">
        <v>2</v>
      </c>
      <c r="N595" s="5">
        <v>300</v>
      </c>
      <c r="O595">
        <f>M595*N595</f>
        <v>600</v>
      </c>
      <c r="P595" s="14">
        <f>O595*$S$3</f>
        <v>9</v>
      </c>
    </row>
    <row r="596" spans="1:16">
      <c r="A596" s="2">
        <v>595</v>
      </c>
      <c r="B596" s="4">
        <f>YEAR(G596)</f>
        <v>2023</v>
      </c>
      <c r="C596" s="4">
        <f>MONTH(G596)</f>
        <v>11</v>
      </c>
      <c r="D596" s="4">
        <f>DAY(G596)</f>
        <v>9</v>
      </c>
      <c r="E596" s="4" t="str">
        <f>TEXT(G596, "mmmm")</f>
        <v>November</v>
      </c>
      <c r="F596" s="4" t="str">
        <f>TEXT(G596, "dddd")</f>
        <v>Thursday</v>
      </c>
      <c r="G596" s="3">
        <v>45239</v>
      </c>
      <c r="H596" s="4" t="s">
        <v>622</v>
      </c>
      <c r="I596" s="4" t="s">
        <v>20</v>
      </c>
      <c r="J596" s="4">
        <v>18</v>
      </c>
      <c r="K596" s="4" t="str" cm="1">
        <f t="array" ref="K596">_xlfn.IFS(J596&lt;30, "Young Adult", J596&lt;50, "Adult", J596&gt;=50, "Senior")</f>
        <v>Young Adult</v>
      </c>
      <c r="L596" s="4" t="s">
        <v>21</v>
      </c>
      <c r="M596" s="4">
        <v>4</v>
      </c>
      <c r="N596" s="5">
        <v>500</v>
      </c>
      <c r="O596">
        <f>M596*N596</f>
        <v>2000</v>
      </c>
      <c r="P596" s="14">
        <f>O596*$S$3</f>
        <v>30</v>
      </c>
    </row>
    <row r="597" spans="1:16">
      <c r="A597" s="2">
        <v>596</v>
      </c>
      <c r="B597" s="4">
        <f>YEAR(G597)</f>
        <v>2023</v>
      </c>
      <c r="C597" s="4">
        <f>MONTH(G597)</f>
        <v>2</v>
      </c>
      <c r="D597" s="4">
        <f>DAY(G597)</f>
        <v>7</v>
      </c>
      <c r="E597" s="4" t="str">
        <f>TEXT(G597, "mmmm")</f>
        <v>February</v>
      </c>
      <c r="F597" s="4" t="str">
        <f>TEXT(G597, "dddd")</f>
        <v>Tuesday</v>
      </c>
      <c r="G597" s="3">
        <v>44964</v>
      </c>
      <c r="H597" s="4" t="s">
        <v>623</v>
      </c>
      <c r="I597" s="4" t="s">
        <v>20</v>
      </c>
      <c r="J597" s="4">
        <v>64</v>
      </c>
      <c r="K597" s="4" t="str" cm="1">
        <f t="array" ref="K597">_xlfn.IFS(J597&lt;30, "Young Adult", J597&lt;50, "Adult", J597&gt;=50, "Senior")</f>
        <v>Senior</v>
      </c>
      <c r="L597" s="4" t="s">
        <v>24</v>
      </c>
      <c r="M597" s="4">
        <v>1</v>
      </c>
      <c r="N597" s="5">
        <v>300</v>
      </c>
      <c r="O597">
        <f>M597*N597</f>
        <v>300</v>
      </c>
      <c r="P597" s="14">
        <f>O597*$S$3</f>
        <v>4.5</v>
      </c>
    </row>
    <row r="598" spans="1:16">
      <c r="A598" s="2">
        <v>597</v>
      </c>
      <c r="B598" s="4">
        <f>YEAR(G598)</f>
        <v>2023</v>
      </c>
      <c r="C598" s="4">
        <f>MONTH(G598)</f>
        <v>8</v>
      </c>
      <c r="D598" s="4">
        <f>DAY(G598)</f>
        <v>22</v>
      </c>
      <c r="E598" s="4" t="str">
        <f>TEXT(G598, "mmmm")</f>
        <v>August</v>
      </c>
      <c r="F598" s="4" t="str">
        <f>TEXT(G598, "dddd")</f>
        <v>Tuesday</v>
      </c>
      <c r="G598" s="3">
        <v>45160</v>
      </c>
      <c r="H598" s="4" t="s">
        <v>624</v>
      </c>
      <c r="I598" s="4" t="s">
        <v>16</v>
      </c>
      <c r="J598" s="4">
        <v>22</v>
      </c>
      <c r="K598" s="4" t="str" cm="1">
        <f t="array" ref="K598">_xlfn.IFS(J598&lt;30, "Young Adult", J598&lt;50, "Adult", J598&gt;=50, "Senior")</f>
        <v>Young Adult</v>
      </c>
      <c r="L598" s="4" t="s">
        <v>17</v>
      </c>
      <c r="M598" s="4">
        <v>4</v>
      </c>
      <c r="N598" s="5">
        <v>300</v>
      </c>
      <c r="O598">
        <f>M598*N598</f>
        <v>1200</v>
      </c>
      <c r="P598" s="14">
        <f>O598*$S$3</f>
        <v>18</v>
      </c>
    </row>
    <row r="599" spans="1:16">
      <c r="A599" s="2">
        <v>598</v>
      </c>
      <c r="B599" s="4">
        <f>YEAR(G599)</f>
        <v>2023</v>
      </c>
      <c r="C599" s="4">
        <f>MONTH(G599)</f>
        <v>8</v>
      </c>
      <c r="D599" s="4">
        <f>DAY(G599)</f>
        <v>1</v>
      </c>
      <c r="E599" s="4" t="str">
        <f>TEXT(G599, "mmmm")</f>
        <v>August</v>
      </c>
      <c r="F599" s="4" t="str">
        <f>TEXT(G599, "dddd")</f>
        <v>Tuesday</v>
      </c>
      <c r="G599" s="3">
        <v>45139</v>
      </c>
      <c r="H599" s="4" t="s">
        <v>625</v>
      </c>
      <c r="I599" s="4" t="s">
        <v>16</v>
      </c>
      <c r="J599" s="4">
        <v>37</v>
      </c>
      <c r="K599" s="4" t="str" cm="1">
        <f t="array" ref="K599">_xlfn.IFS(J599&lt;30, "Young Adult", J599&lt;50, "Adult", J599&gt;=50, "Senior")</f>
        <v>Adult</v>
      </c>
      <c r="L599" s="4" t="s">
        <v>17</v>
      </c>
      <c r="M599" s="4">
        <v>4</v>
      </c>
      <c r="N599" s="5">
        <v>30</v>
      </c>
      <c r="O599">
        <f>M599*N599</f>
        <v>120</v>
      </c>
      <c r="P599" s="14">
        <f>O599*$S$3</f>
        <v>1.7999999999999998</v>
      </c>
    </row>
    <row r="600" spans="1:16">
      <c r="A600" s="2">
        <v>599</v>
      </c>
      <c r="B600" s="4">
        <f>YEAR(G600)</f>
        <v>2023</v>
      </c>
      <c r="C600" s="4">
        <f>MONTH(G600)</f>
        <v>11</v>
      </c>
      <c r="D600" s="4">
        <f>DAY(G600)</f>
        <v>19</v>
      </c>
      <c r="E600" s="4" t="str">
        <f>TEXT(G600, "mmmm")</f>
        <v>November</v>
      </c>
      <c r="F600" s="4" t="str">
        <f>TEXT(G600, "dddd")</f>
        <v>Sunday</v>
      </c>
      <c r="G600" s="3">
        <v>45249</v>
      </c>
      <c r="H600" s="4" t="s">
        <v>626</v>
      </c>
      <c r="I600" s="4" t="s">
        <v>20</v>
      </c>
      <c r="J600" s="4">
        <v>28</v>
      </c>
      <c r="K600" s="4" t="str" cm="1">
        <f t="array" ref="K600">_xlfn.IFS(J600&lt;30, "Young Adult", J600&lt;50, "Adult", J600&gt;=50, "Senior")</f>
        <v>Young Adult</v>
      </c>
      <c r="L600" s="4" t="s">
        <v>17</v>
      </c>
      <c r="M600" s="4">
        <v>2</v>
      </c>
      <c r="N600" s="5">
        <v>50</v>
      </c>
      <c r="O600">
        <f>M600*N600</f>
        <v>100</v>
      </c>
      <c r="P600" s="14">
        <f>O600*$S$3</f>
        <v>1.5</v>
      </c>
    </row>
    <row r="601" spans="1:16">
      <c r="A601" s="2">
        <v>600</v>
      </c>
      <c r="B601" s="4">
        <f>YEAR(G601)</f>
        <v>2023</v>
      </c>
      <c r="C601" s="4">
        <f>MONTH(G601)</f>
        <v>10</v>
      </c>
      <c r="D601" s="4">
        <f>DAY(G601)</f>
        <v>22</v>
      </c>
      <c r="E601" s="4" t="str">
        <f>TEXT(G601, "mmmm")</f>
        <v>October</v>
      </c>
      <c r="F601" s="4" t="str">
        <f>TEXT(G601, "dddd")</f>
        <v>Sunday</v>
      </c>
      <c r="G601" s="3">
        <v>45221</v>
      </c>
      <c r="H601" s="4" t="s">
        <v>627</v>
      </c>
      <c r="I601" s="4" t="s">
        <v>20</v>
      </c>
      <c r="J601" s="4">
        <v>59</v>
      </c>
      <c r="K601" s="4" t="str" cm="1">
        <f t="array" ref="K601">_xlfn.IFS(J601&lt;30, "Young Adult", J601&lt;50, "Adult", J601&gt;=50, "Senior")</f>
        <v>Senior</v>
      </c>
      <c r="L601" s="4" t="s">
        <v>17</v>
      </c>
      <c r="M601" s="4">
        <v>2</v>
      </c>
      <c r="N601" s="5">
        <v>500</v>
      </c>
      <c r="O601">
        <f>M601*N601</f>
        <v>1000</v>
      </c>
      <c r="P601" s="14">
        <f>O601*$S$3</f>
        <v>15</v>
      </c>
    </row>
    <row r="602" spans="1:16">
      <c r="A602" s="2">
        <v>601</v>
      </c>
      <c r="B602" s="4">
        <f>YEAR(G602)</f>
        <v>2023</v>
      </c>
      <c r="C602" s="4">
        <f>MONTH(G602)</f>
        <v>4</v>
      </c>
      <c r="D602" s="4">
        <f>DAY(G602)</f>
        <v>10</v>
      </c>
      <c r="E602" s="4" t="str">
        <f>TEXT(G602, "mmmm")</f>
        <v>April</v>
      </c>
      <c r="F602" s="4" t="str">
        <f>TEXT(G602, "dddd")</f>
        <v>Monday</v>
      </c>
      <c r="G602" s="3">
        <v>45026</v>
      </c>
      <c r="H602" s="4" t="s">
        <v>628</v>
      </c>
      <c r="I602" s="4" t="s">
        <v>16</v>
      </c>
      <c r="J602" s="4">
        <v>19</v>
      </c>
      <c r="K602" s="4" t="str" cm="1">
        <f t="array" ref="K602">_xlfn.IFS(J602&lt;30, "Young Adult", J602&lt;50, "Adult", J602&gt;=50, "Senior")</f>
        <v>Young Adult</v>
      </c>
      <c r="L602" s="4" t="s">
        <v>21</v>
      </c>
      <c r="M602" s="4">
        <v>1</v>
      </c>
      <c r="N602" s="5">
        <v>30</v>
      </c>
      <c r="O602">
        <f>M602*N602</f>
        <v>30</v>
      </c>
      <c r="P602" s="14">
        <f>O602*$S$3</f>
        <v>0.44999999999999996</v>
      </c>
    </row>
    <row r="603" spans="1:16">
      <c r="A603" s="2">
        <v>602</v>
      </c>
      <c r="B603" s="4">
        <f>YEAR(G603)</f>
        <v>2023</v>
      </c>
      <c r="C603" s="4">
        <f>MONTH(G603)</f>
        <v>12</v>
      </c>
      <c r="D603" s="4">
        <f>DAY(G603)</f>
        <v>23</v>
      </c>
      <c r="E603" s="4" t="str">
        <f>TEXT(G603, "mmmm")</f>
        <v>December</v>
      </c>
      <c r="F603" s="4" t="str">
        <f>TEXT(G603, "dddd")</f>
        <v>Saturday</v>
      </c>
      <c r="G603" s="3">
        <v>45283</v>
      </c>
      <c r="H603" s="4" t="s">
        <v>629</v>
      </c>
      <c r="I603" s="4" t="s">
        <v>20</v>
      </c>
      <c r="J603" s="4">
        <v>20</v>
      </c>
      <c r="K603" s="4" t="str" cm="1">
        <f t="array" ref="K603">_xlfn.IFS(J603&lt;30, "Young Adult", J603&lt;50, "Adult", J603&gt;=50, "Senior")</f>
        <v>Young Adult</v>
      </c>
      <c r="L603" s="4" t="s">
        <v>24</v>
      </c>
      <c r="M603" s="4">
        <v>1</v>
      </c>
      <c r="N603" s="5">
        <v>300</v>
      </c>
      <c r="O603">
        <f>M603*N603</f>
        <v>300</v>
      </c>
      <c r="P603" s="14">
        <f>O603*$S$3</f>
        <v>4.5</v>
      </c>
    </row>
    <row r="604" spans="1:16">
      <c r="A604" s="2">
        <v>603</v>
      </c>
      <c r="B604" s="4">
        <f>YEAR(G604)</f>
        <v>2023</v>
      </c>
      <c r="C604" s="4">
        <f>MONTH(G604)</f>
        <v>7</v>
      </c>
      <c r="D604" s="4">
        <f>DAY(G604)</f>
        <v>16</v>
      </c>
      <c r="E604" s="4" t="str">
        <f>TEXT(G604, "mmmm")</f>
        <v>July</v>
      </c>
      <c r="F604" s="4" t="str">
        <f>TEXT(G604, "dddd")</f>
        <v>Sunday</v>
      </c>
      <c r="G604" s="3">
        <v>45123</v>
      </c>
      <c r="H604" s="4" t="s">
        <v>630</v>
      </c>
      <c r="I604" s="4" t="s">
        <v>20</v>
      </c>
      <c r="J604" s="4">
        <v>40</v>
      </c>
      <c r="K604" s="4" t="str" cm="1">
        <f t="array" ref="K604">_xlfn.IFS(J604&lt;30, "Young Adult", J604&lt;50, "Adult", J604&gt;=50, "Senior")</f>
        <v>Adult</v>
      </c>
      <c r="L604" s="4" t="s">
        <v>21</v>
      </c>
      <c r="M604" s="4">
        <v>3</v>
      </c>
      <c r="N604" s="5">
        <v>30</v>
      </c>
      <c r="O604">
        <f>M604*N604</f>
        <v>90</v>
      </c>
      <c r="P604" s="14">
        <f>O604*$S$3</f>
        <v>1.3499999999999999</v>
      </c>
    </row>
    <row r="605" spans="1:16">
      <c r="A605" s="2">
        <v>604</v>
      </c>
      <c r="B605" s="4">
        <f>YEAR(G605)</f>
        <v>2023</v>
      </c>
      <c r="C605" s="4">
        <f>MONTH(G605)</f>
        <v>9</v>
      </c>
      <c r="D605" s="4">
        <f>DAY(G605)</f>
        <v>11</v>
      </c>
      <c r="E605" s="4" t="str">
        <f>TEXT(G605, "mmmm")</f>
        <v>September</v>
      </c>
      <c r="F605" s="4" t="str">
        <f>TEXT(G605, "dddd")</f>
        <v>Monday</v>
      </c>
      <c r="G605" s="3">
        <v>45180</v>
      </c>
      <c r="H605" s="4" t="s">
        <v>631</v>
      </c>
      <c r="I605" s="4" t="s">
        <v>20</v>
      </c>
      <c r="J605" s="4">
        <v>29</v>
      </c>
      <c r="K605" s="4" t="str" cm="1">
        <f t="array" ref="K605">_xlfn.IFS(J605&lt;30, "Young Adult", J605&lt;50, "Adult", J605&gt;=50, "Senior")</f>
        <v>Young Adult</v>
      </c>
      <c r="L605" s="4" t="s">
        <v>24</v>
      </c>
      <c r="M605" s="4">
        <v>4</v>
      </c>
      <c r="N605" s="5">
        <v>50</v>
      </c>
      <c r="O605">
        <f>M605*N605</f>
        <v>200</v>
      </c>
      <c r="P605" s="14">
        <f>O605*$S$3</f>
        <v>3</v>
      </c>
    </row>
    <row r="606" spans="1:16">
      <c r="A606" s="2">
        <v>605</v>
      </c>
      <c r="B606" s="4">
        <f>YEAR(G606)</f>
        <v>2023</v>
      </c>
      <c r="C606" s="4">
        <f>MONTH(G606)</f>
        <v>7</v>
      </c>
      <c r="D606" s="4">
        <f>DAY(G606)</f>
        <v>24</v>
      </c>
      <c r="E606" s="4" t="str">
        <f>TEXT(G606, "mmmm")</f>
        <v>July</v>
      </c>
      <c r="F606" s="4" t="str">
        <f>TEXT(G606, "dddd")</f>
        <v>Monday</v>
      </c>
      <c r="G606" s="3">
        <v>45131</v>
      </c>
      <c r="H606" s="4" t="s">
        <v>632</v>
      </c>
      <c r="I606" s="4" t="s">
        <v>16</v>
      </c>
      <c r="J606" s="4">
        <v>37</v>
      </c>
      <c r="K606" s="4" t="str" cm="1">
        <f t="array" ref="K606">_xlfn.IFS(J606&lt;30, "Young Adult", J606&lt;50, "Adult", J606&gt;=50, "Senior")</f>
        <v>Adult</v>
      </c>
      <c r="L606" s="4" t="s">
        <v>24</v>
      </c>
      <c r="M606" s="4">
        <v>2</v>
      </c>
      <c r="N606" s="5">
        <v>500</v>
      </c>
      <c r="O606">
        <f>M606*N606</f>
        <v>1000</v>
      </c>
      <c r="P606" s="14">
        <f>O606*$S$3</f>
        <v>15</v>
      </c>
    </row>
    <row r="607" spans="1:16">
      <c r="A607" s="2">
        <v>606</v>
      </c>
      <c r="B607" s="4">
        <f>YEAR(G607)</f>
        <v>2023</v>
      </c>
      <c r="C607" s="4">
        <f>MONTH(G607)</f>
        <v>5</v>
      </c>
      <c r="D607" s="4">
        <f>DAY(G607)</f>
        <v>5</v>
      </c>
      <c r="E607" s="4" t="str">
        <f>TEXT(G607, "mmmm")</f>
        <v>May</v>
      </c>
      <c r="F607" s="4" t="str">
        <f>TEXT(G607, "dddd")</f>
        <v>Friday</v>
      </c>
      <c r="G607" s="3">
        <v>45051</v>
      </c>
      <c r="H607" s="4" t="s">
        <v>633</v>
      </c>
      <c r="I607" s="4" t="s">
        <v>16</v>
      </c>
      <c r="J607" s="4">
        <v>22</v>
      </c>
      <c r="K607" s="4" t="str" cm="1">
        <f t="array" ref="K607">_xlfn.IFS(J607&lt;30, "Young Adult", J607&lt;50, "Adult", J607&gt;=50, "Senior")</f>
        <v>Young Adult</v>
      </c>
      <c r="L607" s="4" t="s">
        <v>24</v>
      </c>
      <c r="M607" s="4">
        <v>1</v>
      </c>
      <c r="N607" s="5">
        <v>50</v>
      </c>
      <c r="O607">
        <f>M607*N607</f>
        <v>50</v>
      </c>
      <c r="P607" s="14">
        <f>O607*$S$3</f>
        <v>0.75</v>
      </c>
    </row>
    <row r="608" spans="1:16">
      <c r="A608" s="2">
        <v>607</v>
      </c>
      <c r="B608" s="4">
        <f>YEAR(G608)</f>
        <v>2023</v>
      </c>
      <c r="C608" s="4">
        <f>MONTH(G608)</f>
        <v>3</v>
      </c>
      <c r="D608" s="4">
        <f>DAY(G608)</f>
        <v>17</v>
      </c>
      <c r="E608" s="4" t="str">
        <f>TEXT(G608, "mmmm")</f>
        <v>March</v>
      </c>
      <c r="F608" s="4" t="str">
        <f>TEXT(G608, "dddd")</f>
        <v>Friday</v>
      </c>
      <c r="G608" s="3">
        <v>45002</v>
      </c>
      <c r="H608" s="4" t="s">
        <v>634</v>
      </c>
      <c r="I608" s="4" t="s">
        <v>16</v>
      </c>
      <c r="J608" s="4">
        <v>54</v>
      </c>
      <c r="K608" s="4" t="str" cm="1">
        <f t="array" ref="K608">_xlfn.IFS(J608&lt;30, "Young Adult", J608&lt;50, "Adult", J608&gt;=50, "Senior")</f>
        <v>Senior</v>
      </c>
      <c r="L608" s="4" t="s">
        <v>21</v>
      </c>
      <c r="M608" s="4">
        <v>3</v>
      </c>
      <c r="N608" s="5">
        <v>25</v>
      </c>
      <c r="O608">
        <f>M608*N608</f>
        <v>75</v>
      </c>
      <c r="P608" s="14">
        <f>O608*$S$3</f>
        <v>1.125</v>
      </c>
    </row>
    <row r="609" spans="1:16">
      <c r="A609" s="2">
        <v>608</v>
      </c>
      <c r="B609" s="4">
        <f>YEAR(G609)</f>
        <v>2023</v>
      </c>
      <c r="C609" s="4">
        <f>MONTH(G609)</f>
        <v>12</v>
      </c>
      <c r="D609" s="4">
        <f>DAY(G609)</f>
        <v>2</v>
      </c>
      <c r="E609" s="4" t="str">
        <f>TEXT(G609, "mmmm")</f>
        <v>December</v>
      </c>
      <c r="F609" s="4" t="str">
        <f>TEXT(G609, "dddd")</f>
        <v>Saturday</v>
      </c>
      <c r="G609" s="3">
        <v>45262</v>
      </c>
      <c r="H609" s="4" t="s">
        <v>635</v>
      </c>
      <c r="I609" s="4" t="s">
        <v>20</v>
      </c>
      <c r="J609" s="4">
        <v>55</v>
      </c>
      <c r="K609" s="4" t="str" cm="1">
        <f t="array" ref="K609">_xlfn.IFS(J609&lt;30, "Young Adult", J609&lt;50, "Adult", J609&gt;=50, "Senior")</f>
        <v>Senior</v>
      </c>
      <c r="L609" s="4" t="s">
        <v>24</v>
      </c>
      <c r="M609" s="4">
        <v>3</v>
      </c>
      <c r="N609" s="5">
        <v>500</v>
      </c>
      <c r="O609">
        <f>M609*N609</f>
        <v>1500</v>
      </c>
      <c r="P609" s="14">
        <f>O609*$S$3</f>
        <v>22.5</v>
      </c>
    </row>
    <row r="610" spans="1:16">
      <c r="A610" s="2">
        <v>609</v>
      </c>
      <c r="B610" s="4">
        <f>YEAR(G610)</f>
        <v>2023</v>
      </c>
      <c r="C610" s="4">
        <f>MONTH(G610)</f>
        <v>12</v>
      </c>
      <c r="D610" s="4">
        <f>DAY(G610)</f>
        <v>19</v>
      </c>
      <c r="E610" s="4" t="str">
        <f>TEXT(G610, "mmmm")</f>
        <v>December</v>
      </c>
      <c r="F610" s="4" t="str">
        <f>TEXT(G610, "dddd")</f>
        <v>Tuesday</v>
      </c>
      <c r="G610" s="3">
        <v>45279</v>
      </c>
      <c r="H610" s="4" t="s">
        <v>636</v>
      </c>
      <c r="I610" s="4" t="s">
        <v>20</v>
      </c>
      <c r="J610" s="4">
        <v>47</v>
      </c>
      <c r="K610" s="4" t="str" cm="1">
        <f t="array" ref="K610">_xlfn.IFS(J610&lt;30, "Young Adult", J610&lt;50, "Adult", J610&gt;=50, "Senior")</f>
        <v>Adult</v>
      </c>
      <c r="L610" s="4" t="s">
        <v>21</v>
      </c>
      <c r="M610" s="4">
        <v>2</v>
      </c>
      <c r="N610" s="5">
        <v>50</v>
      </c>
      <c r="O610">
        <f>M610*N610</f>
        <v>100</v>
      </c>
      <c r="P610" s="14">
        <f>O610*$S$3</f>
        <v>1.5</v>
      </c>
    </row>
    <row r="611" spans="1:16">
      <c r="A611" s="2">
        <v>610</v>
      </c>
      <c r="B611" s="4">
        <f>YEAR(G611)</f>
        <v>2023</v>
      </c>
      <c r="C611" s="4">
        <f>MONTH(G611)</f>
        <v>1</v>
      </c>
      <c r="D611" s="4">
        <f>DAY(G611)</f>
        <v>3</v>
      </c>
      <c r="E611" s="4" t="str">
        <f>TEXT(G611, "mmmm")</f>
        <v>January</v>
      </c>
      <c r="F611" s="4" t="str">
        <f>TEXT(G611, "dddd")</f>
        <v>Tuesday</v>
      </c>
      <c r="G611" s="3">
        <v>44929</v>
      </c>
      <c r="H611" s="4" t="s">
        <v>637</v>
      </c>
      <c r="I611" s="4" t="s">
        <v>20</v>
      </c>
      <c r="J611" s="4">
        <v>26</v>
      </c>
      <c r="K611" s="4" t="str" cm="1">
        <f t="array" ref="K611">_xlfn.IFS(J611&lt;30, "Young Adult", J611&lt;50, "Adult", J611&gt;=50, "Senior")</f>
        <v>Young Adult</v>
      </c>
      <c r="L611" s="4" t="s">
        <v>17</v>
      </c>
      <c r="M611" s="4">
        <v>2</v>
      </c>
      <c r="N611" s="5">
        <v>300</v>
      </c>
      <c r="O611">
        <f>M611*N611</f>
        <v>600</v>
      </c>
      <c r="P611" s="14">
        <f>O611*$S$3</f>
        <v>9</v>
      </c>
    </row>
    <row r="612" spans="1:16">
      <c r="A612" s="2">
        <v>611</v>
      </c>
      <c r="B612" s="4">
        <f>YEAR(G612)</f>
        <v>2023</v>
      </c>
      <c r="C612" s="4">
        <f>MONTH(G612)</f>
        <v>2</v>
      </c>
      <c r="D612" s="4">
        <f>DAY(G612)</f>
        <v>24</v>
      </c>
      <c r="E612" s="4" t="str">
        <f>TEXT(G612, "mmmm")</f>
        <v>February</v>
      </c>
      <c r="F612" s="4" t="str">
        <f>TEXT(G612, "dddd")</f>
        <v>Friday</v>
      </c>
      <c r="G612" s="3">
        <v>44981</v>
      </c>
      <c r="H612" s="4" t="s">
        <v>638</v>
      </c>
      <c r="I612" s="4" t="s">
        <v>16</v>
      </c>
      <c r="J612" s="4">
        <v>51</v>
      </c>
      <c r="K612" s="4" t="str" cm="1">
        <f t="array" ref="K612">_xlfn.IFS(J612&lt;30, "Young Adult", J612&lt;50, "Adult", J612&gt;=50, "Senior")</f>
        <v>Senior</v>
      </c>
      <c r="L612" s="4" t="s">
        <v>17</v>
      </c>
      <c r="M612" s="4">
        <v>3</v>
      </c>
      <c r="N612" s="5">
        <v>500</v>
      </c>
      <c r="O612">
        <f>M612*N612</f>
        <v>1500</v>
      </c>
      <c r="P612" s="14">
        <f>O612*$S$3</f>
        <v>22.5</v>
      </c>
    </row>
    <row r="613" spans="1:16">
      <c r="A613" s="2">
        <v>612</v>
      </c>
      <c r="B613" s="4">
        <f>YEAR(G613)</f>
        <v>2023</v>
      </c>
      <c r="C613" s="4">
        <f>MONTH(G613)</f>
        <v>8</v>
      </c>
      <c r="D613" s="4">
        <f>DAY(G613)</f>
        <v>6</v>
      </c>
      <c r="E613" s="4" t="str">
        <f>TEXT(G613, "mmmm")</f>
        <v>August</v>
      </c>
      <c r="F613" s="4" t="str">
        <f>TEXT(G613, "dddd")</f>
        <v>Sunday</v>
      </c>
      <c r="G613" s="3">
        <v>45144</v>
      </c>
      <c r="H613" s="4" t="s">
        <v>639</v>
      </c>
      <c r="I613" s="4" t="s">
        <v>20</v>
      </c>
      <c r="J613" s="4">
        <v>61</v>
      </c>
      <c r="K613" s="4" t="str" cm="1">
        <f t="array" ref="K613">_xlfn.IFS(J613&lt;30, "Young Adult", J613&lt;50, "Adult", J613&gt;=50, "Senior")</f>
        <v>Senior</v>
      </c>
      <c r="L613" s="4" t="s">
        <v>24</v>
      </c>
      <c r="M613" s="4">
        <v>1</v>
      </c>
      <c r="N613" s="5">
        <v>500</v>
      </c>
      <c r="O613">
        <f>M613*N613</f>
        <v>500</v>
      </c>
      <c r="P613" s="14">
        <f>O613*$S$3</f>
        <v>7.5</v>
      </c>
    </row>
    <row r="614" spans="1:16">
      <c r="A614" s="2">
        <v>613</v>
      </c>
      <c r="B614" s="4">
        <f>YEAR(G614)</f>
        <v>2023</v>
      </c>
      <c r="C614" s="4">
        <f>MONTH(G614)</f>
        <v>4</v>
      </c>
      <c r="D614" s="4">
        <f>DAY(G614)</f>
        <v>23</v>
      </c>
      <c r="E614" s="4" t="str">
        <f>TEXT(G614, "mmmm")</f>
        <v>April</v>
      </c>
      <c r="F614" s="4" t="str">
        <f>TEXT(G614, "dddd")</f>
        <v>Sunday</v>
      </c>
      <c r="G614" s="3">
        <v>45039</v>
      </c>
      <c r="H614" s="4" t="s">
        <v>640</v>
      </c>
      <c r="I614" s="4" t="s">
        <v>20</v>
      </c>
      <c r="J614" s="4">
        <v>52</v>
      </c>
      <c r="K614" s="4" t="str" cm="1">
        <f t="array" ref="K614">_xlfn.IFS(J614&lt;30, "Young Adult", J614&lt;50, "Adult", J614&gt;=50, "Senior")</f>
        <v>Senior</v>
      </c>
      <c r="L614" s="4" t="s">
        <v>21</v>
      </c>
      <c r="M614" s="4">
        <v>3</v>
      </c>
      <c r="N614" s="5">
        <v>30</v>
      </c>
      <c r="O614">
        <f>M614*N614</f>
        <v>90</v>
      </c>
      <c r="P614" s="14">
        <f>O614*$S$3</f>
        <v>1.3499999999999999</v>
      </c>
    </row>
    <row r="615" spans="1:16">
      <c r="A615" s="2">
        <v>614</v>
      </c>
      <c r="B615" s="4">
        <f>YEAR(G615)</f>
        <v>2023</v>
      </c>
      <c r="C615" s="4">
        <f>MONTH(G615)</f>
        <v>4</v>
      </c>
      <c r="D615" s="4">
        <f>DAY(G615)</f>
        <v>1</v>
      </c>
      <c r="E615" s="4" t="str">
        <f>TEXT(G615, "mmmm")</f>
        <v>April</v>
      </c>
      <c r="F615" s="4" t="str">
        <f>TEXT(G615, "dddd")</f>
        <v>Saturday</v>
      </c>
      <c r="G615" s="3">
        <v>45017</v>
      </c>
      <c r="H615" s="4" t="s">
        <v>641</v>
      </c>
      <c r="I615" s="4" t="s">
        <v>20</v>
      </c>
      <c r="J615" s="4">
        <v>39</v>
      </c>
      <c r="K615" s="4" t="str" cm="1">
        <f t="array" ref="K615">_xlfn.IFS(J615&lt;30, "Young Adult", J615&lt;50, "Adult", J615&gt;=50, "Senior")</f>
        <v>Adult</v>
      </c>
      <c r="L615" s="4" t="s">
        <v>17</v>
      </c>
      <c r="M615" s="4">
        <v>4</v>
      </c>
      <c r="N615" s="5">
        <v>300</v>
      </c>
      <c r="O615">
        <f>M615*N615</f>
        <v>1200</v>
      </c>
      <c r="P615" s="14">
        <f>O615*$S$3</f>
        <v>18</v>
      </c>
    </row>
    <row r="616" spans="1:16">
      <c r="A616" s="2">
        <v>615</v>
      </c>
      <c r="B616" s="4">
        <f>YEAR(G616)</f>
        <v>2023</v>
      </c>
      <c r="C616" s="4">
        <f>MONTH(G616)</f>
        <v>12</v>
      </c>
      <c r="D616" s="4">
        <f>DAY(G616)</f>
        <v>23</v>
      </c>
      <c r="E616" s="4" t="str">
        <f>TEXT(G616, "mmmm")</f>
        <v>December</v>
      </c>
      <c r="F616" s="4" t="str">
        <f>TEXT(G616, "dddd")</f>
        <v>Saturday</v>
      </c>
      <c r="G616" s="3">
        <v>45283</v>
      </c>
      <c r="H616" s="4" t="s">
        <v>642</v>
      </c>
      <c r="I616" s="4" t="s">
        <v>20</v>
      </c>
      <c r="J616" s="4">
        <v>61</v>
      </c>
      <c r="K616" s="4" t="str" cm="1">
        <f t="array" ref="K616">_xlfn.IFS(J616&lt;30, "Young Adult", J616&lt;50, "Adult", J616&gt;=50, "Senior")</f>
        <v>Senior</v>
      </c>
      <c r="L616" s="4" t="s">
        <v>21</v>
      </c>
      <c r="M616" s="4">
        <v>4</v>
      </c>
      <c r="N616" s="5">
        <v>25</v>
      </c>
      <c r="O616">
        <f>M616*N616</f>
        <v>100</v>
      </c>
      <c r="P616" s="14">
        <f>O616*$S$3</f>
        <v>1.5</v>
      </c>
    </row>
    <row r="617" spans="1:16">
      <c r="A617" s="2">
        <v>616</v>
      </c>
      <c r="B617" s="4">
        <f>YEAR(G617)</f>
        <v>2023</v>
      </c>
      <c r="C617" s="4">
        <f>MONTH(G617)</f>
        <v>9</v>
      </c>
      <c r="D617" s="4">
        <f>DAY(G617)</f>
        <v>23</v>
      </c>
      <c r="E617" s="4" t="str">
        <f>TEXT(G617, "mmmm")</f>
        <v>September</v>
      </c>
      <c r="F617" s="4" t="str">
        <f>TEXT(G617, "dddd")</f>
        <v>Saturday</v>
      </c>
      <c r="G617" s="3">
        <v>45192</v>
      </c>
      <c r="H617" s="4" t="s">
        <v>643</v>
      </c>
      <c r="I617" s="4" t="s">
        <v>16</v>
      </c>
      <c r="J617" s="4">
        <v>41</v>
      </c>
      <c r="K617" s="4" t="str" cm="1">
        <f t="array" ref="K617">_xlfn.IFS(J617&lt;30, "Young Adult", J617&lt;50, "Adult", J617&gt;=50, "Senior")</f>
        <v>Adult</v>
      </c>
      <c r="L617" s="4" t="s">
        <v>21</v>
      </c>
      <c r="M617" s="4">
        <v>2</v>
      </c>
      <c r="N617" s="5">
        <v>50</v>
      </c>
      <c r="O617">
        <f>M617*N617</f>
        <v>100</v>
      </c>
      <c r="P617" s="14">
        <f>O617*$S$3</f>
        <v>1.5</v>
      </c>
    </row>
    <row r="618" spans="1:16">
      <c r="A618" s="2">
        <v>617</v>
      </c>
      <c r="B618" s="4">
        <f>YEAR(G618)</f>
        <v>2023</v>
      </c>
      <c r="C618" s="4">
        <f>MONTH(G618)</f>
        <v>8</v>
      </c>
      <c r="D618" s="4">
        <f>DAY(G618)</f>
        <v>26</v>
      </c>
      <c r="E618" s="4" t="str">
        <f>TEXT(G618, "mmmm")</f>
        <v>August</v>
      </c>
      <c r="F618" s="4" t="str">
        <f>TEXT(G618, "dddd")</f>
        <v>Saturday</v>
      </c>
      <c r="G618" s="3">
        <v>45164</v>
      </c>
      <c r="H618" s="4" t="s">
        <v>644</v>
      </c>
      <c r="I618" s="4" t="s">
        <v>16</v>
      </c>
      <c r="J618" s="4">
        <v>34</v>
      </c>
      <c r="K618" s="4" t="str" cm="1">
        <f t="array" ref="K618">_xlfn.IFS(J618&lt;30, "Young Adult", J618&lt;50, "Adult", J618&gt;=50, "Senior")</f>
        <v>Adult</v>
      </c>
      <c r="L618" s="4" t="s">
        <v>24</v>
      </c>
      <c r="M618" s="4">
        <v>1</v>
      </c>
      <c r="N618" s="5">
        <v>30</v>
      </c>
      <c r="O618">
        <f>M618*N618</f>
        <v>30</v>
      </c>
      <c r="P618" s="14">
        <f>O618*$S$3</f>
        <v>0.44999999999999996</v>
      </c>
    </row>
    <row r="619" spans="1:16">
      <c r="A619" s="2">
        <v>618</v>
      </c>
      <c r="B619" s="4">
        <f>YEAR(G619)</f>
        <v>2023</v>
      </c>
      <c r="C619" s="4">
        <f>MONTH(G619)</f>
        <v>1</v>
      </c>
      <c r="D619" s="4">
        <f>DAY(G619)</f>
        <v>26</v>
      </c>
      <c r="E619" s="4" t="str">
        <f>TEXT(G619, "mmmm")</f>
        <v>January</v>
      </c>
      <c r="F619" s="4" t="str">
        <f>TEXT(G619, "dddd")</f>
        <v>Thursday</v>
      </c>
      <c r="G619" s="3">
        <v>44952</v>
      </c>
      <c r="H619" s="4" t="s">
        <v>645</v>
      </c>
      <c r="I619" s="4" t="s">
        <v>20</v>
      </c>
      <c r="J619" s="4">
        <v>27</v>
      </c>
      <c r="K619" s="4" t="str" cm="1">
        <f t="array" ref="K619">_xlfn.IFS(J619&lt;30, "Young Adult", J619&lt;50, "Adult", J619&gt;=50, "Senior")</f>
        <v>Young Adult</v>
      </c>
      <c r="L619" s="4" t="s">
        <v>17</v>
      </c>
      <c r="M619" s="4">
        <v>1</v>
      </c>
      <c r="N619" s="5">
        <v>50</v>
      </c>
      <c r="O619">
        <f>M619*N619</f>
        <v>50</v>
      </c>
      <c r="P619" s="14">
        <f>O619*$S$3</f>
        <v>0.75</v>
      </c>
    </row>
    <row r="620" spans="1:16">
      <c r="A620" s="2">
        <v>619</v>
      </c>
      <c r="B620" s="4">
        <f>YEAR(G620)</f>
        <v>2023</v>
      </c>
      <c r="C620" s="4">
        <f>MONTH(G620)</f>
        <v>10</v>
      </c>
      <c r="D620" s="4">
        <f>DAY(G620)</f>
        <v>13</v>
      </c>
      <c r="E620" s="4" t="str">
        <f>TEXT(G620, "mmmm")</f>
        <v>October</v>
      </c>
      <c r="F620" s="4" t="str">
        <f>TEXT(G620, "dddd")</f>
        <v>Friday</v>
      </c>
      <c r="G620" s="3">
        <v>45212</v>
      </c>
      <c r="H620" s="4" t="s">
        <v>646</v>
      </c>
      <c r="I620" s="4" t="s">
        <v>16</v>
      </c>
      <c r="J620" s="4">
        <v>47</v>
      </c>
      <c r="K620" s="4" t="str" cm="1">
        <f t="array" ref="K620">_xlfn.IFS(J620&lt;30, "Young Adult", J620&lt;50, "Adult", J620&gt;=50, "Senior")</f>
        <v>Adult</v>
      </c>
      <c r="L620" s="4" t="s">
        <v>24</v>
      </c>
      <c r="M620" s="4">
        <v>4</v>
      </c>
      <c r="N620" s="5">
        <v>25</v>
      </c>
      <c r="O620">
        <f>M620*N620</f>
        <v>100</v>
      </c>
      <c r="P620" s="14">
        <f>O620*$S$3</f>
        <v>1.5</v>
      </c>
    </row>
    <row r="621" spans="1:16">
      <c r="A621" s="2">
        <v>620</v>
      </c>
      <c r="B621" s="4">
        <f>YEAR(G621)</f>
        <v>2023</v>
      </c>
      <c r="C621" s="4">
        <f>MONTH(G621)</f>
        <v>5</v>
      </c>
      <c r="D621" s="4">
        <f>DAY(G621)</f>
        <v>8</v>
      </c>
      <c r="E621" s="4" t="str">
        <f>TEXT(G621, "mmmm")</f>
        <v>May</v>
      </c>
      <c r="F621" s="4" t="str">
        <f>TEXT(G621, "dddd")</f>
        <v>Monday</v>
      </c>
      <c r="G621" s="3">
        <v>45054</v>
      </c>
      <c r="H621" s="4" t="s">
        <v>647</v>
      </c>
      <c r="I621" s="4" t="s">
        <v>16</v>
      </c>
      <c r="J621" s="4">
        <v>63</v>
      </c>
      <c r="K621" s="4" t="str" cm="1">
        <f t="array" ref="K621">_xlfn.IFS(J621&lt;30, "Young Adult", J621&lt;50, "Adult", J621&gt;=50, "Senior")</f>
        <v>Senior</v>
      </c>
      <c r="L621" s="4" t="s">
        <v>24</v>
      </c>
      <c r="M621" s="4">
        <v>3</v>
      </c>
      <c r="N621" s="5">
        <v>25</v>
      </c>
      <c r="O621">
        <f>M621*N621</f>
        <v>75</v>
      </c>
      <c r="P621" s="14">
        <f>O621*$S$3</f>
        <v>1.125</v>
      </c>
    </row>
    <row r="622" spans="1:16">
      <c r="A622" s="2">
        <v>621</v>
      </c>
      <c r="B622" s="4">
        <f>YEAR(G622)</f>
        <v>2023</v>
      </c>
      <c r="C622" s="4">
        <f>MONTH(G622)</f>
        <v>3</v>
      </c>
      <c r="D622" s="4">
        <f>DAY(G622)</f>
        <v>4</v>
      </c>
      <c r="E622" s="4" t="str">
        <f>TEXT(G622, "mmmm")</f>
        <v>March</v>
      </c>
      <c r="F622" s="4" t="str">
        <f>TEXT(G622, "dddd")</f>
        <v>Saturday</v>
      </c>
      <c r="G622" s="3">
        <v>44989</v>
      </c>
      <c r="H622" s="4" t="s">
        <v>648</v>
      </c>
      <c r="I622" s="4" t="s">
        <v>20</v>
      </c>
      <c r="J622" s="4">
        <v>40</v>
      </c>
      <c r="K622" s="4" t="str" cm="1">
        <f t="array" ref="K622">_xlfn.IFS(J622&lt;30, "Young Adult", J622&lt;50, "Adult", J622&gt;=50, "Senior")</f>
        <v>Adult</v>
      </c>
      <c r="L622" s="4" t="s">
        <v>17</v>
      </c>
      <c r="M622" s="4">
        <v>2</v>
      </c>
      <c r="N622" s="5">
        <v>500</v>
      </c>
      <c r="O622">
        <f>M622*N622</f>
        <v>1000</v>
      </c>
      <c r="P622" s="14">
        <f>O622*$S$3</f>
        <v>15</v>
      </c>
    </row>
    <row r="623" spans="1:16">
      <c r="A623" s="2">
        <v>622</v>
      </c>
      <c r="B623" s="4">
        <f>YEAR(G623)</f>
        <v>2023</v>
      </c>
      <c r="C623" s="4">
        <f>MONTH(G623)</f>
        <v>8</v>
      </c>
      <c r="D623" s="4">
        <f>DAY(G623)</f>
        <v>22</v>
      </c>
      <c r="E623" s="4" t="str">
        <f>TEXT(G623, "mmmm")</f>
        <v>August</v>
      </c>
      <c r="F623" s="4" t="str">
        <f>TEXT(G623, "dddd")</f>
        <v>Tuesday</v>
      </c>
      <c r="G623" s="3">
        <v>45160</v>
      </c>
      <c r="H623" s="4" t="s">
        <v>649</v>
      </c>
      <c r="I623" s="4" t="s">
        <v>20</v>
      </c>
      <c r="J623" s="4">
        <v>49</v>
      </c>
      <c r="K623" s="4" t="str" cm="1">
        <f t="array" ref="K623">_xlfn.IFS(J623&lt;30, "Young Adult", J623&lt;50, "Adult", J623&gt;=50, "Senior")</f>
        <v>Adult</v>
      </c>
      <c r="L623" s="4" t="s">
        <v>17</v>
      </c>
      <c r="M623" s="4">
        <v>3</v>
      </c>
      <c r="N623" s="5">
        <v>25</v>
      </c>
      <c r="O623">
        <f>M623*N623</f>
        <v>75</v>
      </c>
      <c r="P623" s="14">
        <f>O623*$S$3</f>
        <v>1.125</v>
      </c>
    </row>
    <row r="624" spans="1:16">
      <c r="A624" s="2">
        <v>623</v>
      </c>
      <c r="B624" s="4">
        <f>YEAR(G624)</f>
        <v>2023</v>
      </c>
      <c r="C624" s="4">
        <f>MONTH(G624)</f>
        <v>3</v>
      </c>
      <c r="D624" s="4">
        <f>DAY(G624)</f>
        <v>10</v>
      </c>
      <c r="E624" s="4" t="str">
        <f>TEXT(G624, "mmmm")</f>
        <v>March</v>
      </c>
      <c r="F624" s="4" t="str">
        <f>TEXT(G624, "dddd")</f>
        <v>Friday</v>
      </c>
      <c r="G624" s="3">
        <v>44995</v>
      </c>
      <c r="H624" s="4" t="s">
        <v>650</v>
      </c>
      <c r="I624" s="4" t="s">
        <v>16</v>
      </c>
      <c r="J624" s="4">
        <v>34</v>
      </c>
      <c r="K624" s="4" t="str" cm="1">
        <f t="array" ref="K624">_xlfn.IFS(J624&lt;30, "Young Adult", J624&lt;50, "Adult", J624&gt;=50, "Senior")</f>
        <v>Adult</v>
      </c>
      <c r="L624" s="4" t="s">
        <v>21</v>
      </c>
      <c r="M624" s="4">
        <v>3</v>
      </c>
      <c r="N624" s="5">
        <v>50</v>
      </c>
      <c r="O624">
        <f>M624*N624</f>
        <v>150</v>
      </c>
      <c r="P624" s="14">
        <f>O624*$S$3</f>
        <v>2.25</v>
      </c>
    </row>
    <row r="625" spans="1:16">
      <c r="A625" s="2">
        <v>624</v>
      </c>
      <c r="B625" s="4">
        <f>YEAR(G625)</f>
        <v>2023</v>
      </c>
      <c r="C625" s="4">
        <f>MONTH(G625)</f>
        <v>8</v>
      </c>
      <c r="D625" s="4">
        <f>DAY(G625)</f>
        <v>26</v>
      </c>
      <c r="E625" s="4" t="str">
        <f>TEXT(G625, "mmmm")</f>
        <v>August</v>
      </c>
      <c r="F625" s="4" t="str">
        <f>TEXT(G625, "dddd")</f>
        <v>Saturday</v>
      </c>
      <c r="G625" s="3">
        <v>45164</v>
      </c>
      <c r="H625" s="4" t="s">
        <v>651</v>
      </c>
      <c r="I625" s="4" t="s">
        <v>20</v>
      </c>
      <c r="J625" s="4">
        <v>34</v>
      </c>
      <c r="K625" s="4" t="str" cm="1">
        <f t="array" ref="K625">_xlfn.IFS(J625&lt;30, "Young Adult", J625&lt;50, "Adult", J625&gt;=50, "Senior")</f>
        <v>Adult</v>
      </c>
      <c r="L625" s="4" t="s">
        <v>17</v>
      </c>
      <c r="M625" s="4">
        <v>3</v>
      </c>
      <c r="N625" s="5">
        <v>300</v>
      </c>
      <c r="O625">
        <f>M625*N625</f>
        <v>900</v>
      </c>
      <c r="P625" s="14">
        <f>O625*$S$3</f>
        <v>13.5</v>
      </c>
    </row>
    <row r="626" spans="1:16">
      <c r="A626" s="2">
        <v>625</v>
      </c>
      <c r="B626" s="4">
        <f>YEAR(G626)</f>
        <v>2023</v>
      </c>
      <c r="C626" s="4">
        <f>MONTH(G626)</f>
        <v>12</v>
      </c>
      <c r="D626" s="4">
        <f>DAY(G626)</f>
        <v>8</v>
      </c>
      <c r="E626" s="4" t="str">
        <f>TEXT(G626, "mmmm")</f>
        <v>December</v>
      </c>
      <c r="F626" s="4" t="str">
        <f>TEXT(G626, "dddd")</f>
        <v>Friday</v>
      </c>
      <c r="G626" s="3">
        <v>45268</v>
      </c>
      <c r="H626" s="4" t="s">
        <v>652</v>
      </c>
      <c r="I626" s="4" t="s">
        <v>16</v>
      </c>
      <c r="J626" s="4">
        <v>31</v>
      </c>
      <c r="K626" s="4" t="str" cm="1">
        <f t="array" ref="K626">_xlfn.IFS(J626&lt;30, "Young Adult", J626&lt;50, "Adult", J626&gt;=50, "Senior")</f>
        <v>Adult</v>
      </c>
      <c r="L626" s="4" t="s">
        <v>21</v>
      </c>
      <c r="M626" s="4">
        <v>1</v>
      </c>
      <c r="N626" s="5">
        <v>300</v>
      </c>
      <c r="O626">
        <f>M626*N626</f>
        <v>300</v>
      </c>
      <c r="P626" s="14">
        <f>O626*$S$3</f>
        <v>4.5</v>
      </c>
    </row>
    <row r="627" spans="1:16">
      <c r="A627" s="2">
        <v>626</v>
      </c>
      <c r="B627" s="4">
        <f>YEAR(G627)</f>
        <v>2023</v>
      </c>
      <c r="C627" s="4">
        <f>MONTH(G627)</f>
        <v>9</v>
      </c>
      <c r="D627" s="4">
        <f>DAY(G627)</f>
        <v>29</v>
      </c>
      <c r="E627" s="4" t="str">
        <f>TEXT(G627, "mmmm")</f>
        <v>September</v>
      </c>
      <c r="F627" s="4" t="str">
        <f>TEXT(G627, "dddd")</f>
        <v>Friday</v>
      </c>
      <c r="G627" s="3">
        <v>45198</v>
      </c>
      <c r="H627" s="4" t="s">
        <v>653</v>
      </c>
      <c r="I627" s="4" t="s">
        <v>20</v>
      </c>
      <c r="J627" s="4">
        <v>26</v>
      </c>
      <c r="K627" s="4" t="str" cm="1">
        <f t="array" ref="K627">_xlfn.IFS(J627&lt;30, "Young Adult", J627&lt;50, "Adult", J627&gt;=50, "Senior")</f>
        <v>Young Adult</v>
      </c>
      <c r="L627" s="4" t="s">
        <v>21</v>
      </c>
      <c r="M627" s="4">
        <v>4</v>
      </c>
      <c r="N627" s="5">
        <v>500</v>
      </c>
      <c r="O627">
        <f>M627*N627</f>
        <v>2000</v>
      </c>
      <c r="P627" s="14">
        <f>O627*$S$3</f>
        <v>30</v>
      </c>
    </row>
    <row r="628" spans="1:16">
      <c r="A628" s="2">
        <v>627</v>
      </c>
      <c r="B628" s="4">
        <f>YEAR(G628)</f>
        <v>2023</v>
      </c>
      <c r="C628" s="4">
        <f>MONTH(G628)</f>
        <v>10</v>
      </c>
      <c r="D628" s="4">
        <f>DAY(G628)</f>
        <v>14</v>
      </c>
      <c r="E628" s="4" t="str">
        <f>TEXT(G628, "mmmm")</f>
        <v>October</v>
      </c>
      <c r="F628" s="4" t="str">
        <f>TEXT(G628, "dddd")</f>
        <v>Saturday</v>
      </c>
      <c r="G628" s="3">
        <v>45213</v>
      </c>
      <c r="H628" s="4" t="s">
        <v>654</v>
      </c>
      <c r="I628" s="4" t="s">
        <v>16</v>
      </c>
      <c r="J628" s="4">
        <v>57</v>
      </c>
      <c r="K628" s="4" t="str" cm="1">
        <f t="array" ref="K628">_xlfn.IFS(J628&lt;30, "Young Adult", J628&lt;50, "Adult", J628&gt;=50, "Senior")</f>
        <v>Senior</v>
      </c>
      <c r="L628" s="4" t="s">
        <v>21</v>
      </c>
      <c r="M628" s="4">
        <v>1</v>
      </c>
      <c r="N628" s="5">
        <v>50</v>
      </c>
      <c r="O628">
        <f>M628*N628</f>
        <v>50</v>
      </c>
      <c r="P628" s="14">
        <f>O628*$S$3</f>
        <v>0.75</v>
      </c>
    </row>
    <row r="629" spans="1:16">
      <c r="A629" s="2">
        <v>628</v>
      </c>
      <c r="B629" s="4">
        <f>YEAR(G629)</f>
        <v>2023</v>
      </c>
      <c r="C629" s="4">
        <f>MONTH(G629)</f>
        <v>11</v>
      </c>
      <c r="D629" s="4">
        <f>DAY(G629)</f>
        <v>1</v>
      </c>
      <c r="E629" s="4" t="str">
        <f>TEXT(G629, "mmmm")</f>
        <v>November</v>
      </c>
      <c r="F629" s="4" t="str">
        <f>TEXT(G629, "dddd")</f>
        <v>Wednesday</v>
      </c>
      <c r="G629" s="3">
        <v>45231</v>
      </c>
      <c r="H629" s="4" t="s">
        <v>655</v>
      </c>
      <c r="I629" s="4" t="s">
        <v>20</v>
      </c>
      <c r="J629" s="4">
        <v>19</v>
      </c>
      <c r="K629" s="4" t="str" cm="1">
        <f t="array" ref="K629">_xlfn.IFS(J629&lt;30, "Young Adult", J629&lt;50, "Adult", J629&gt;=50, "Senior")</f>
        <v>Young Adult</v>
      </c>
      <c r="L629" s="4" t="s">
        <v>17</v>
      </c>
      <c r="M629" s="4">
        <v>4</v>
      </c>
      <c r="N629" s="5">
        <v>50</v>
      </c>
      <c r="O629">
        <f>M629*N629</f>
        <v>200</v>
      </c>
      <c r="P629" s="14">
        <f>O629*$S$3</f>
        <v>3</v>
      </c>
    </row>
    <row r="630" spans="1:16">
      <c r="A630" s="2">
        <v>629</v>
      </c>
      <c r="B630" s="4">
        <f>YEAR(G630)</f>
        <v>2023</v>
      </c>
      <c r="C630" s="4">
        <f>MONTH(G630)</f>
        <v>6</v>
      </c>
      <c r="D630" s="4">
        <f>DAY(G630)</f>
        <v>12</v>
      </c>
      <c r="E630" s="4" t="str">
        <f>TEXT(G630, "mmmm")</f>
        <v>June</v>
      </c>
      <c r="F630" s="4" t="str">
        <f>TEXT(G630, "dddd")</f>
        <v>Monday</v>
      </c>
      <c r="G630" s="3">
        <v>45089</v>
      </c>
      <c r="H630" s="4" t="s">
        <v>656</v>
      </c>
      <c r="I630" s="4" t="s">
        <v>16</v>
      </c>
      <c r="J630" s="4">
        <v>62</v>
      </c>
      <c r="K630" s="4" t="str" cm="1">
        <f t="array" ref="K630">_xlfn.IFS(J630&lt;30, "Young Adult", J630&lt;50, "Adult", J630&gt;=50, "Senior")</f>
        <v>Senior</v>
      </c>
      <c r="L630" s="4" t="s">
        <v>24</v>
      </c>
      <c r="M630" s="4">
        <v>2</v>
      </c>
      <c r="N630" s="5">
        <v>25</v>
      </c>
      <c r="O630">
        <f>M630*N630</f>
        <v>50</v>
      </c>
      <c r="P630" s="14">
        <f>O630*$S$3</f>
        <v>0.75</v>
      </c>
    </row>
    <row r="631" spans="1:16">
      <c r="A631" s="2">
        <v>630</v>
      </c>
      <c r="B631" s="4">
        <f>YEAR(G631)</f>
        <v>2023</v>
      </c>
      <c r="C631" s="4">
        <f>MONTH(G631)</f>
        <v>8</v>
      </c>
      <c r="D631" s="4">
        <f>DAY(G631)</f>
        <v>15</v>
      </c>
      <c r="E631" s="4" t="str">
        <f>TEXT(G631, "mmmm")</f>
        <v>August</v>
      </c>
      <c r="F631" s="4" t="str">
        <f>TEXT(G631, "dddd")</f>
        <v>Tuesday</v>
      </c>
      <c r="G631" s="3">
        <v>45153</v>
      </c>
      <c r="H631" s="4" t="s">
        <v>657</v>
      </c>
      <c r="I631" s="4" t="s">
        <v>16</v>
      </c>
      <c r="J631" s="4">
        <v>42</v>
      </c>
      <c r="K631" s="4" t="str" cm="1">
        <f t="array" ref="K631">_xlfn.IFS(J631&lt;30, "Young Adult", J631&lt;50, "Adult", J631&gt;=50, "Senior")</f>
        <v>Adult</v>
      </c>
      <c r="L631" s="4" t="s">
        <v>21</v>
      </c>
      <c r="M631" s="4">
        <v>2</v>
      </c>
      <c r="N631" s="5">
        <v>50</v>
      </c>
      <c r="O631">
        <f>M631*N631</f>
        <v>100</v>
      </c>
      <c r="P631" s="14">
        <f>O631*$S$3</f>
        <v>1.5</v>
      </c>
    </row>
    <row r="632" spans="1:16">
      <c r="A632" s="2">
        <v>631</v>
      </c>
      <c r="B632" s="4">
        <f>YEAR(G632)</f>
        <v>2023</v>
      </c>
      <c r="C632" s="4">
        <f>MONTH(G632)</f>
        <v>11</v>
      </c>
      <c r="D632" s="4">
        <f>DAY(G632)</f>
        <v>10</v>
      </c>
      <c r="E632" s="4" t="str">
        <f>TEXT(G632, "mmmm")</f>
        <v>November</v>
      </c>
      <c r="F632" s="4" t="str">
        <f>TEXT(G632, "dddd")</f>
        <v>Friday</v>
      </c>
      <c r="G632" s="3">
        <v>45240</v>
      </c>
      <c r="H632" s="4" t="s">
        <v>658</v>
      </c>
      <c r="I632" s="4" t="s">
        <v>16</v>
      </c>
      <c r="J632" s="4">
        <v>56</v>
      </c>
      <c r="K632" s="4" t="str" cm="1">
        <f t="array" ref="K632">_xlfn.IFS(J632&lt;30, "Young Adult", J632&lt;50, "Adult", J632&gt;=50, "Senior")</f>
        <v>Senior</v>
      </c>
      <c r="L632" s="4" t="s">
        <v>24</v>
      </c>
      <c r="M632" s="4">
        <v>3</v>
      </c>
      <c r="N632" s="5">
        <v>30</v>
      </c>
      <c r="O632">
        <f>M632*N632</f>
        <v>90</v>
      </c>
      <c r="P632" s="14">
        <f>O632*$S$3</f>
        <v>1.3499999999999999</v>
      </c>
    </row>
    <row r="633" spans="1:16">
      <c r="A633" s="2">
        <v>632</v>
      </c>
      <c r="B633" s="4">
        <f>YEAR(G633)</f>
        <v>2023</v>
      </c>
      <c r="C633" s="4">
        <f>MONTH(G633)</f>
        <v>9</v>
      </c>
      <c r="D633" s="4">
        <f>DAY(G633)</f>
        <v>16</v>
      </c>
      <c r="E633" s="4" t="str">
        <f>TEXT(G633, "mmmm")</f>
        <v>September</v>
      </c>
      <c r="F633" s="4" t="str">
        <f>TEXT(G633, "dddd")</f>
        <v>Saturday</v>
      </c>
      <c r="G633" s="3">
        <v>45185</v>
      </c>
      <c r="H633" s="4" t="s">
        <v>659</v>
      </c>
      <c r="I633" s="4" t="s">
        <v>20</v>
      </c>
      <c r="J633" s="4">
        <v>26</v>
      </c>
      <c r="K633" s="4" t="str" cm="1">
        <f t="array" ref="K633">_xlfn.IFS(J633&lt;30, "Young Adult", J633&lt;50, "Adult", J633&gt;=50, "Senior")</f>
        <v>Young Adult</v>
      </c>
      <c r="L633" s="4" t="s">
        <v>24</v>
      </c>
      <c r="M633" s="4">
        <v>4</v>
      </c>
      <c r="N633" s="5">
        <v>25</v>
      </c>
      <c r="O633">
        <f>M633*N633</f>
        <v>100</v>
      </c>
      <c r="P633" s="14">
        <f>O633*$S$3</f>
        <v>1.5</v>
      </c>
    </row>
    <row r="634" spans="1:16">
      <c r="A634" s="2">
        <v>633</v>
      </c>
      <c r="B634" s="4">
        <f>YEAR(G634)</f>
        <v>2023</v>
      </c>
      <c r="C634" s="4">
        <f>MONTH(G634)</f>
        <v>8</v>
      </c>
      <c r="D634" s="4">
        <f>DAY(G634)</f>
        <v>7</v>
      </c>
      <c r="E634" s="4" t="str">
        <f>TEXT(G634, "mmmm")</f>
        <v>August</v>
      </c>
      <c r="F634" s="4" t="str">
        <f>TEXT(G634, "dddd")</f>
        <v>Monday</v>
      </c>
      <c r="G634" s="3">
        <v>45145</v>
      </c>
      <c r="H634" s="4" t="s">
        <v>660</v>
      </c>
      <c r="I634" s="4" t="s">
        <v>16</v>
      </c>
      <c r="J634" s="4">
        <v>39</v>
      </c>
      <c r="K634" s="4" t="str" cm="1">
        <f t="array" ref="K634">_xlfn.IFS(J634&lt;30, "Young Adult", J634&lt;50, "Adult", J634&gt;=50, "Senior")</f>
        <v>Adult</v>
      </c>
      <c r="L634" s="4" t="s">
        <v>17</v>
      </c>
      <c r="M634" s="4">
        <v>4</v>
      </c>
      <c r="N634" s="5">
        <v>30</v>
      </c>
      <c r="O634">
        <f>M634*N634</f>
        <v>120</v>
      </c>
      <c r="P634" s="14">
        <f>O634*$S$3</f>
        <v>1.7999999999999998</v>
      </c>
    </row>
    <row r="635" spans="1:16">
      <c r="A635" s="2">
        <v>634</v>
      </c>
      <c r="B635" s="4">
        <f>YEAR(G635)</f>
        <v>2023</v>
      </c>
      <c r="C635" s="4">
        <f>MONTH(G635)</f>
        <v>10</v>
      </c>
      <c r="D635" s="4">
        <f>DAY(G635)</f>
        <v>8</v>
      </c>
      <c r="E635" s="4" t="str">
        <f>TEXT(G635, "mmmm")</f>
        <v>October</v>
      </c>
      <c r="F635" s="4" t="str">
        <f>TEXT(G635, "dddd")</f>
        <v>Sunday</v>
      </c>
      <c r="G635" s="3">
        <v>45207</v>
      </c>
      <c r="H635" s="4" t="s">
        <v>661</v>
      </c>
      <c r="I635" s="4" t="s">
        <v>16</v>
      </c>
      <c r="J635" s="4">
        <v>60</v>
      </c>
      <c r="K635" s="4" t="str" cm="1">
        <f t="array" ref="K635">_xlfn.IFS(J635&lt;30, "Young Adult", J635&lt;50, "Adult", J635&gt;=50, "Senior")</f>
        <v>Senior</v>
      </c>
      <c r="L635" s="4" t="s">
        <v>24</v>
      </c>
      <c r="M635" s="4">
        <v>4</v>
      </c>
      <c r="N635" s="5">
        <v>500</v>
      </c>
      <c r="O635">
        <f>M635*N635</f>
        <v>2000</v>
      </c>
      <c r="P635" s="14">
        <f>O635*$S$3</f>
        <v>30</v>
      </c>
    </row>
    <row r="636" spans="1:16">
      <c r="A636" s="2">
        <v>635</v>
      </c>
      <c r="B636" s="4">
        <f>YEAR(G636)</f>
        <v>2023</v>
      </c>
      <c r="C636" s="4">
        <f>MONTH(G636)</f>
        <v>8</v>
      </c>
      <c r="D636" s="4">
        <f>DAY(G636)</f>
        <v>17</v>
      </c>
      <c r="E636" s="4" t="str">
        <f>TEXT(G636, "mmmm")</f>
        <v>August</v>
      </c>
      <c r="F636" s="4" t="str">
        <f>TEXT(G636, "dddd")</f>
        <v>Thursday</v>
      </c>
      <c r="G636" s="3">
        <v>45155</v>
      </c>
      <c r="H636" s="4" t="s">
        <v>662</v>
      </c>
      <c r="I636" s="4" t="s">
        <v>20</v>
      </c>
      <c r="J636" s="4">
        <v>63</v>
      </c>
      <c r="K636" s="4" t="str" cm="1">
        <f t="array" ref="K636">_xlfn.IFS(J636&lt;30, "Young Adult", J636&lt;50, "Adult", J636&gt;=50, "Senior")</f>
        <v>Senior</v>
      </c>
      <c r="L636" s="4" t="s">
        <v>24</v>
      </c>
      <c r="M636" s="4">
        <v>3</v>
      </c>
      <c r="N636" s="5">
        <v>300</v>
      </c>
      <c r="O636">
        <f>M636*N636</f>
        <v>900</v>
      </c>
      <c r="P636" s="14">
        <f>O636*$S$3</f>
        <v>13.5</v>
      </c>
    </row>
    <row r="637" spans="1:16">
      <c r="A637" s="2">
        <v>636</v>
      </c>
      <c r="B637" s="4">
        <f>YEAR(G637)</f>
        <v>2023</v>
      </c>
      <c r="C637" s="4">
        <f>MONTH(G637)</f>
        <v>3</v>
      </c>
      <c r="D637" s="4">
        <f>DAY(G637)</f>
        <v>23</v>
      </c>
      <c r="E637" s="4" t="str">
        <f>TEXT(G637, "mmmm")</f>
        <v>March</v>
      </c>
      <c r="F637" s="4" t="str">
        <f>TEXT(G637, "dddd")</f>
        <v>Thursday</v>
      </c>
      <c r="G637" s="3">
        <v>45008</v>
      </c>
      <c r="H637" s="4" t="s">
        <v>663</v>
      </c>
      <c r="I637" s="4" t="s">
        <v>20</v>
      </c>
      <c r="J637" s="4">
        <v>21</v>
      </c>
      <c r="K637" s="4" t="str" cm="1">
        <f t="array" ref="K637">_xlfn.IFS(J637&lt;30, "Young Adult", J637&lt;50, "Adult", J637&gt;=50, "Senior")</f>
        <v>Young Adult</v>
      </c>
      <c r="L637" s="4" t="s">
        <v>17</v>
      </c>
      <c r="M637" s="4">
        <v>3</v>
      </c>
      <c r="N637" s="5">
        <v>500</v>
      </c>
      <c r="O637">
        <f>M637*N637</f>
        <v>1500</v>
      </c>
      <c r="P637" s="14">
        <f>O637*$S$3</f>
        <v>22.5</v>
      </c>
    </row>
    <row r="638" spans="1:16">
      <c r="A638" s="2">
        <v>637</v>
      </c>
      <c r="B638" s="4">
        <f>YEAR(G638)</f>
        <v>2023</v>
      </c>
      <c r="C638" s="4">
        <f>MONTH(G638)</f>
        <v>9</v>
      </c>
      <c r="D638" s="4">
        <f>DAY(G638)</f>
        <v>1</v>
      </c>
      <c r="E638" s="4" t="str">
        <f>TEXT(G638, "mmmm")</f>
        <v>September</v>
      </c>
      <c r="F638" s="4" t="str">
        <f>TEXT(G638, "dddd")</f>
        <v>Friday</v>
      </c>
      <c r="G638" s="3">
        <v>45170</v>
      </c>
      <c r="H638" s="4" t="s">
        <v>664</v>
      </c>
      <c r="I638" s="4" t="s">
        <v>16</v>
      </c>
      <c r="J638" s="4">
        <v>43</v>
      </c>
      <c r="K638" s="4" t="str" cm="1">
        <f t="array" ref="K638">_xlfn.IFS(J638&lt;30, "Young Adult", J638&lt;50, "Adult", J638&gt;=50, "Senior")</f>
        <v>Adult</v>
      </c>
      <c r="L638" s="4" t="s">
        <v>21</v>
      </c>
      <c r="M638" s="4">
        <v>2</v>
      </c>
      <c r="N638" s="5">
        <v>300</v>
      </c>
      <c r="O638">
        <f>M638*N638</f>
        <v>600</v>
      </c>
      <c r="P638" s="14">
        <f>O638*$S$3</f>
        <v>9</v>
      </c>
    </row>
    <row r="639" spans="1:16">
      <c r="A639" s="2">
        <v>638</v>
      </c>
      <c r="B639" s="4">
        <f>YEAR(G639)</f>
        <v>2023</v>
      </c>
      <c r="C639" s="4">
        <f>MONTH(G639)</f>
        <v>8</v>
      </c>
      <c r="D639" s="4">
        <f>DAY(G639)</f>
        <v>19</v>
      </c>
      <c r="E639" s="4" t="str">
        <f>TEXT(G639, "mmmm")</f>
        <v>August</v>
      </c>
      <c r="F639" s="4" t="str">
        <f>TEXT(G639, "dddd")</f>
        <v>Saturday</v>
      </c>
      <c r="G639" s="3">
        <v>45157</v>
      </c>
      <c r="H639" s="4" t="s">
        <v>665</v>
      </c>
      <c r="I639" s="4" t="s">
        <v>16</v>
      </c>
      <c r="J639" s="4">
        <v>46</v>
      </c>
      <c r="K639" s="4" t="str" cm="1">
        <f t="array" ref="K639">_xlfn.IFS(J639&lt;30, "Young Adult", J639&lt;50, "Adult", J639&gt;=50, "Senior")</f>
        <v>Adult</v>
      </c>
      <c r="L639" s="4" t="s">
        <v>24</v>
      </c>
      <c r="M639" s="4">
        <v>1</v>
      </c>
      <c r="N639" s="5">
        <v>500</v>
      </c>
      <c r="O639">
        <f>M639*N639</f>
        <v>500</v>
      </c>
      <c r="P639" s="14">
        <f>O639*$S$3</f>
        <v>7.5</v>
      </c>
    </row>
    <row r="640" spans="1:16">
      <c r="A640" s="2">
        <v>639</v>
      </c>
      <c r="B640" s="4">
        <f>YEAR(G640)</f>
        <v>2023</v>
      </c>
      <c r="C640" s="4">
        <f>MONTH(G640)</f>
        <v>5</v>
      </c>
      <c r="D640" s="4">
        <f>DAY(G640)</f>
        <v>13</v>
      </c>
      <c r="E640" s="4" t="str">
        <f>TEXT(G640, "mmmm")</f>
        <v>May</v>
      </c>
      <c r="F640" s="4" t="str">
        <f>TEXT(G640, "dddd")</f>
        <v>Saturday</v>
      </c>
      <c r="G640" s="3">
        <v>45059</v>
      </c>
      <c r="H640" s="4" t="s">
        <v>666</v>
      </c>
      <c r="I640" s="4" t="s">
        <v>20</v>
      </c>
      <c r="J640" s="4">
        <v>62</v>
      </c>
      <c r="K640" s="4" t="str" cm="1">
        <f t="array" ref="K640">_xlfn.IFS(J640&lt;30, "Young Adult", J640&lt;50, "Adult", J640&gt;=50, "Senior")</f>
        <v>Senior</v>
      </c>
      <c r="L640" s="4" t="s">
        <v>17</v>
      </c>
      <c r="M640" s="4">
        <v>4</v>
      </c>
      <c r="N640" s="5">
        <v>50</v>
      </c>
      <c r="O640">
        <f>M640*N640</f>
        <v>200</v>
      </c>
      <c r="P640" s="14">
        <f>O640*$S$3</f>
        <v>3</v>
      </c>
    </row>
    <row r="641" spans="1:16">
      <c r="A641" s="2">
        <v>640</v>
      </c>
      <c r="B641" s="4">
        <f>YEAR(G641)</f>
        <v>2023</v>
      </c>
      <c r="C641" s="4">
        <f>MONTH(G641)</f>
        <v>5</v>
      </c>
      <c r="D641" s="4">
        <f>DAY(G641)</f>
        <v>7</v>
      </c>
      <c r="E641" s="4" t="str">
        <f>TEXT(G641, "mmmm")</f>
        <v>May</v>
      </c>
      <c r="F641" s="4" t="str">
        <f>TEXT(G641, "dddd")</f>
        <v>Sunday</v>
      </c>
      <c r="G641" s="3">
        <v>45053</v>
      </c>
      <c r="H641" s="4" t="s">
        <v>667</v>
      </c>
      <c r="I641" s="4" t="s">
        <v>20</v>
      </c>
      <c r="J641" s="4">
        <v>51</v>
      </c>
      <c r="K641" s="4" t="str" cm="1">
        <f t="array" ref="K641">_xlfn.IFS(J641&lt;30, "Young Adult", J641&lt;50, "Adult", J641&gt;=50, "Senior")</f>
        <v>Senior</v>
      </c>
      <c r="L641" s="4" t="s">
        <v>24</v>
      </c>
      <c r="M641" s="4">
        <v>4</v>
      </c>
      <c r="N641" s="5">
        <v>30</v>
      </c>
      <c r="O641">
        <f>M641*N641</f>
        <v>120</v>
      </c>
      <c r="P641" s="14">
        <f>O641*$S$3</f>
        <v>1.7999999999999998</v>
      </c>
    </row>
    <row r="642" spans="1:16">
      <c r="A642" s="2">
        <v>641</v>
      </c>
      <c r="B642" s="4">
        <f>YEAR(G642)</f>
        <v>2023</v>
      </c>
      <c r="C642" s="4">
        <f>MONTH(G642)</f>
        <v>11</v>
      </c>
      <c r="D642" s="4">
        <f>DAY(G642)</f>
        <v>23</v>
      </c>
      <c r="E642" s="4" t="str">
        <f>TEXT(G642, "mmmm")</f>
        <v>November</v>
      </c>
      <c r="F642" s="4" t="str">
        <f>TEXT(G642, "dddd")</f>
        <v>Thursday</v>
      </c>
      <c r="G642" s="3">
        <v>45253</v>
      </c>
      <c r="H642" s="4" t="s">
        <v>668</v>
      </c>
      <c r="I642" s="4" t="s">
        <v>20</v>
      </c>
      <c r="J642" s="4">
        <v>40</v>
      </c>
      <c r="K642" s="4" t="str" cm="1">
        <f t="array" ref="K642">_xlfn.IFS(J642&lt;30, "Young Adult", J642&lt;50, "Adult", J642&gt;=50, "Senior")</f>
        <v>Adult</v>
      </c>
      <c r="L642" s="4" t="s">
        <v>24</v>
      </c>
      <c r="M642" s="4">
        <v>1</v>
      </c>
      <c r="N642" s="5">
        <v>300</v>
      </c>
      <c r="O642">
        <f>M642*N642</f>
        <v>300</v>
      </c>
      <c r="P642" s="14">
        <f>O642*$S$3</f>
        <v>4.5</v>
      </c>
    </row>
    <row r="643" spans="1:16">
      <c r="A643" s="2">
        <v>642</v>
      </c>
      <c r="B643" s="4">
        <f>YEAR(G643)</f>
        <v>2023</v>
      </c>
      <c r="C643" s="4">
        <f>MONTH(G643)</f>
        <v>5</v>
      </c>
      <c r="D643" s="4">
        <f>DAY(G643)</f>
        <v>22</v>
      </c>
      <c r="E643" s="4" t="str">
        <f>TEXT(G643, "mmmm")</f>
        <v>May</v>
      </c>
      <c r="F643" s="4" t="str">
        <f>TEXT(G643, "dddd")</f>
        <v>Monday</v>
      </c>
      <c r="G643" s="3">
        <v>45068</v>
      </c>
      <c r="H643" s="4" t="s">
        <v>669</v>
      </c>
      <c r="I643" s="4" t="s">
        <v>20</v>
      </c>
      <c r="J643" s="4">
        <v>54</v>
      </c>
      <c r="K643" s="4" t="str" cm="1">
        <f t="array" ref="K643">_xlfn.IFS(J643&lt;30, "Young Adult", J643&lt;50, "Adult", J643&gt;=50, "Senior")</f>
        <v>Senior</v>
      </c>
      <c r="L643" s="4" t="s">
        <v>21</v>
      </c>
      <c r="M643" s="4">
        <v>4</v>
      </c>
      <c r="N643" s="5">
        <v>25</v>
      </c>
      <c r="O643">
        <f>M643*N643</f>
        <v>100</v>
      </c>
      <c r="P643" s="14">
        <f>O643*$S$3</f>
        <v>1.5</v>
      </c>
    </row>
    <row r="644" spans="1:16">
      <c r="A644" s="2">
        <v>643</v>
      </c>
      <c r="B644" s="4">
        <f>YEAR(G644)</f>
        <v>2023</v>
      </c>
      <c r="C644" s="4">
        <f>MONTH(G644)</f>
        <v>9</v>
      </c>
      <c r="D644" s="4">
        <f>DAY(G644)</f>
        <v>24</v>
      </c>
      <c r="E644" s="4" t="str">
        <f>TEXT(G644, "mmmm")</f>
        <v>September</v>
      </c>
      <c r="F644" s="4" t="str">
        <f>TEXT(G644, "dddd")</f>
        <v>Sunday</v>
      </c>
      <c r="G644" s="3">
        <v>45193</v>
      </c>
      <c r="H644" s="4" t="s">
        <v>670</v>
      </c>
      <c r="I644" s="4" t="s">
        <v>20</v>
      </c>
      <c r="J644" s="4">
        <v>28</v>
      </c>
      <c r="K644" s="4" t="str" cm="1">
        <f t="array" ref="K644">_xlfn.IFS(J644&lt;30, "Young Adult", J644&lt;50, "Adult", J644&gt;=50, "Senior")</f>
        <v>Young Adult</v>
      </c>
      <c r="L644" s="4" t="s">
        <v>24</v>
      </c>
      <c r="M644" s="4">
        <v>3</v>
      </c>
      <c r="N644" s="5">
        <v>30</v>
      </c>
      <c r="O644">
        <f>M644*N644</f>
        <v>90</v>
      </c>
      <c r="P644" s="14">
        <f>O644*$S$3</f>
        <v>1.3499999999999999</v>
      </c>
    </row>
    <row r="645" spans="1:16">
      <c r="A645" s="2">
        <v>644</v>
      </c>
      <c r="B645" s="4">
        <f>YEAR(G645)</f>
        <v>2023</v>
      </c>
      <c r="C645" s="4">
        <f>MONTH(G645)</f>
        <v>9</v>
      </c>
      <c r="D645" s="4">
        <f>DAY(G645)</f>
        <v>6</v>
      </c>
      <c r="E645" s="4" t="str">
        <f>TEXT(G645, "mmmm")</f>
        <v>September</v>
      </c>
      <c r="F645" s="4" t="str">
        <f>TEXT(G645, "dddd")</f>
        <v>Wednesday</v>
      </c>
      <c r="G645" s="3">
        <v>45175</v>
      </c>
      <c r="H645" s="4" t="s">
        <v>671</v>
      </c>
      <c r="I645" s="4" t="s">
        <v>16</v>
      </c>
      <c r="J645" s="4">
        <v>23</v>
      </c>
      <c r="K645" s="4" t="str" cm="1">
        <f t="array" ref="K645">_xlfn.IFS(J645&lt;30, "Young Adult", J645&lt;50, "Adult", J645&gt;=50, "Senior")</f>
        <v>Young Adult</v>
      </c>
      <c r="L645" s="4" t="s">
        <v>17</v>
      </c>
      <c r="M645" s="4">
        <v>3</v>
      </c>
      <c r="N645" s="5">
        <v>25</v>
      </c>
      <c r="O645">
        <f>M645*N645</f>
        <v>75</v>
      </c>
      <c r="P645" s="14">
        <f>O645*$S$3</f>
        <v>1.125</v>
      </c>
    </row>
    <row r="646" spans="1:16">
      <c r="A646" s="2">
        <v>645</v>
      </c>
      <c r="B646" s="4">
        <f>YEAR(G646)</f>
        <v>2023</v>
      </c>
      <c r="C646" s="4">
        <f>MONTH(G646)</f>
        <v>11</v>
      </c>
      <c r="D646" s="4">
        <f>DAY(G646)</f>
        <v>17</v>
      </c>
      <c r="E646" s="4" t="str">
        <f>TEXT(G646, "mmmm")</f>
        <v>November</v>
      </c>
      <c r="F646" s="4" t="str">
        <f>TEXT(G646, "dddd")</f>
        <v>Friday</v>
      </c>
      <c r="G646" s="3">
        <v>45247</v>
      </c>
      <c r="H646" s="4" t="s">
        <v>672</v>
      </c>
      <c r="I646" s="4" t="s">
        <v>20</v>
      </c>
      <c r="J646" s="4">
        <v>35</v>
      </c>
      <c r="K646" s="4" t="str" cm="1">
        <f t="array" ref="K646">_xlfn.IFS(J646&lt;30, "Young Adult", J646&lt;50, "Adult", J646&gt;=50, "Senior")</f>
        <v>Adult</v>
      </c>
      <c r="L646" s="4" t="s">
        <v>24</v>
      </c>
      <c r="M646" s="4">
        <v>4</v>
      </c>
      <c r="N646" s="5">
        <v>30</v>
      </c>
      <c r="O646">
        <f>M646*N646</f>
        <v>120</v>
      </c>
      <c r="P646" s="14">
        <f>O646*$S$3</f>
        <v>1.7999999999999998</v>
      </c>
    </row>
    <row r="647" spans="1:16">
      <c r="A647" s="2">
        <v>646</v>
      </c>
      <c r="B647" s="4">
        <f>YEAR(G647)</f>
        <v>2023</v>
      </c>
      <c r="C647" s="4">
        <f>MONTH(G647)</f>
        <v>5</v>
      </c>
      <c r="D647" s="4">
        <f>DAY(G647)</f>
        <v>3</v>
      </c>
      <c r="E647" s="4" t="str">
        <f>TEXT(G647, "mmmm")</f>
        <v>May</v>
      </c>
      <c r="F647" s="4" t="str">
        <f>TEXT(G647, "dddd")</f>
        <v>Wednesday</v>
      </c>
      <c r="G647" s="3">
        <v>45049</v>
      </c>
      <c r="H647" s="4" t="s">
        <v>673</v>
      </c>
      <c r="I647" s="4" t="s">
        <v>16</v>
      </c>
      <c r="J647" s="4">
        <v>38</v>
      </c>
      <c r="K647" s="4" t="str" cm="1">
        <f t="array" ref="K647">_xlfn.IFS(J647&lt;30, "Young Adult", J647&lt;50, "Adult", J647&gt;=50, "Senior")</f>
        <v>Adult</v>
      </c>
      <c r="L647" s="4" t="s">
        <v>21</v>
      </c>
      <c r="M647" s="4">
        <v>3</v>
      </c>
      <c r="N647" s="5">
        <v>30</v>
      </c>
      <c r="O647">
        <f>M647*N647</f>
        <v>90</v>
      </c>
      <c r="P647" s="14">
        <f>O647*$S$3</f>
        <v>1.3499999999999999</v>
      </c>
    </row>
    <row r="648" spans="1:16">
      <c r="A648" s="2">
        <v>647</v>
      </c>
      <c r="B648" s="4">
        <f>YEAR(G648)</f>
        <v>2023</v>
      </c>
      <c r="C648" s="4">
        <f>MONTH(G648)</f>
        <v>5</v>
      </c>
      <c r="D648" s="4">
        <f>DAY(G648)</f>
        <v>21</v>
      </c>
      <c r="E648" s="4" t="str">
        <f>TEXT(G648, "mmmm")</f>
        <v>May</v>
      </c>
      <c r="F648" s="4" t="str">
        <f>TEXT(G648, "dddd")</f>
        <v>Sunday</v>
      </c>
      <c r="G648" s="3">
        <v>45067</v>
      </c>
      <c r="H648" s="4" t="s">
        <v>674</v>
      </c>
      <c r="I648" s="4" t="s">
        <v>16</v>
      </c>
      <c r="J648" s="4">
        <v>59</v>
      </c>
      <c r="K648" s="4" t="str" cm="1">
        <f t="array" ref="K648">_xlfn.IFS(J648&lt;30, "Young Adult", J648&lt;50, "Adult", J648&gt;=50, "Senior")</f>
        <v>Senior</v>
      </c>
      <c r="L648" s="4" t="s">
        <v>21</v>
      </c>
      <c r="M648" s="4">
        <v>3</v>
      </c>
      <c r="N648" s="5">
        <v>500</v>
      </c>
      <c r="O648">
        <f>M648*N648</f>
        <v>1500</v>
      </c>
      <c r="P648" s="14">
        <f>O648*$S$3</f>
        <v>22.5</v>
      </c>
    </row>
    <row r="649" spans="1:16">
      <c r="A649" s="2">
        <v>648</v>
      </c>
      <c r="B649" s="4">
        <f>YEAR(G649)</f>
        <v>2023</v>
      </c>
      <c r="C649" s="4">
        <f>MONTH(G649)</f>
        <v>8</v>
      </c>
      <c r="D649" s="4">
        <f>DAY(G649)</f>
        <v>14</v>
      </c>
      <c r="E649" s="4" t="str">
        <f>TEXT(G649, "mmmm")</f>
        <v>August</v>
      </c>
      <c r="F649" s="4" t="str">
        <f>TEXT(G649, "dddd")</f>
        <v>Monday</v>
      </c>
      <c r="G649" s="3">
        <v>45152</v>
      </c>
      <c r="H649" s="4" t="s">
        <v>675</v>
      </c>
      <c r="I649" s="4" t="s">
        <v>16</v>
      </c>
      <c r="J649" s="4">
        <v>53</v>
      </c>
      <c r="K649" s="4" t="str" cm="1">
        <f t="array" ref="K649">_xlfn.IFS(J649&lt;30, "Young Adult", J649&lt;50, "Adult", J649&gt;=50, "Senior")</f>
        <v>Senior</v>
      </c>
      <c r="L649" s="4" t="s">
        <v>17</v>
      </c>
      <c r="M649" s="4">
        <v>4</v>
      </c>
      <c r="N649" s="5">
        <v>300</v>
      </c>
      <c r="O649">
        <f>M649*N649</f>
        <v>1200</v>
      </c>
      <c r="P649" s="14">
        <f>O649*$S$3</f>
        <v>18</v>
      </c>
    </row>
    <row r="650" spans="1:16">
      <c r="A650" s="2">
        <v>649</v>
      </c>
      <c r="B650" s="4">
        <f>YEAR(G650)</f>
        <v>2023</v>
      </c>
      <c r="C650" s="4">
        <f>MONTH(G650)</f>
        <v>2</v>
      </c>
      <c r="D650" s="4">
        <f>DAY(G650)</f>
        <v>9</v>
      </c>
      <c r="E650" s="4" t="str">
        <f>TEXT(G650, "mmmm")</f>
        <v>February</v>
      </c>
      <c r="F650" s="4" t="str">
        <f>TEXT(G650, "dddd")</f>
        <v>Thursday</v>
      </c>
      <c r="G650" s="3">
        <v>44966</v>
      </c>
      <c r="H650" s="4" t="s">
        <v>676</v>
      </c>
      <c r="I650" s="4" t="s">
        <v>20</v>
      </c>
      <c r="J650" s="4">
        <v>58</v>
      </c>
      <c r="K650" s="4" t="str" cm="1">
        <f t="array" ref="K650">_xlfn.IFS(J650&lt;30, "Young Adult", J650&lt;50, "Adult", J650&gt;=50, "Senior")</f>
        <v>Senior</v>
      </c>
      <c r="L650" s="4" t="s">
        <v>21</v>
      </c>
      <c r="M650" s="4">
        <v>2</v>
      </c>
      <c r="N650" s="5">
        <v>300</v>
      </c>
      <c r="O650">
        <f>M650*N650</f>
        <v>600</v>
      </c>
      <c r="P650" s="14">
        <f>O650*$S$3</f>
        <v>9</v>
      </c>
    </row>
    <row r="651" spans="1:16">
      <c r="A651" s="2">
        <v>650</v>
      </c>
      <c r="B651" s="4">
        <f>YEAR(G651)</f>
        <v>2024</v>
      </c>
      <c r="C651" s="4">
        <f>MONTH(G651)</f>
        <v>1</v>
      </c>
      <c r="D651" s="4">
        <f>DAY(G651)</f>
        <v>1</v>
      </c>
      <c r="E651" s="4" t="str">
        <f>TEXT(G651, "mmmm")</f>
        <v>January</v>
      </c>
      <c r="F651" s="4" t="str">
        <f>TEXT(G651, "dddd")</f>
        <v>Monday</v>
      </c>
      <c r="G651" s="3">
        <v>45292</v>
      </c>
      <c r="H651" s="4" t="s">
        <v>677</v>
      </c>
      <c r="I651" s="4" t="s">
        <v>16</v>
      </c>
      <c r="J651" s="4">
        <v>55</v>
      </c>
      <c r="K651" s="4" t="str" cm="1">
        <f t="array" ref="K651">_xlfn.IFS(J651&lt;30, "Young Adult", J651&lt;50, "Adult", J651&gt;=50, "Senior")</f>
        <v>Senior</v>
      </c>
      <c r="L651" s="4" t="s">
        <v>24</v>
      </c>
      <c r="M651" s="4">
        <v>1</v>
      </c>
      <c r="N651" s="5">
        <v>30</v>
      </c>
      <c r="O651">
        <f>M651*N651</f>
        <v>30</v>
      </c>
      <c r="P651" s="14">
        <f>O651*$S$3</f>
        <v>0.44999999999999996</v>
      </c>
    </row>
    <row r="652" spans="1:16">
      <c r="A652" s="2">
        <v>651</v>
      </c>
      <c r="B652" s="4">
        <f>YEAR(G652)</f>
        <v>2023</v>
      </c>
      <c r="C652" s="4">
        <f>MONTH(G652)</f>
        <v>5</v>
      </c>
      <c r="D652" s="4">
        <f>DAY(G652)</f>
        <v>27</v>
      </c>
      <c r="E652" s="4" t="str">
        <f>TEXT(G652, "mmmm")</f>
        <v>May</v>
      </c>
      <c r="F652" s="4" t="str">
        <f>TEXT(G652, "dddd")</f>
        <v>Saturday</v>
      </c>
      <c r="G652" s="3">
        <v>45073</v>
      </c>
      <c r="H652" s="4" t="s">
        <v>678</v>
      </c>
      <c r="I652" s="4" t="s">
        <v>16</v>
      </c>
      <c r="J652" s="4">
        <v>51</v>
      </c>
      <c r="K652" s="4" t="str" cm="1">
        <f t="array" ref="K652">_xlfn.IFS(J652&lt;30, "Young Adult", J652&lt;50, "Adult", J652&gt;=50, "Senior")</f>
        <v>Senior</v>
      </c>
      <c r="L652" s="4" t="s">
        <v>21</v>
      </c>
      <c r="M652" s="4">
        <v>3</v>
      </c>
      <c r="N652" s="5">
        <v>50</v>
      </c>
      <c r="O652">
        <f>M652*N652</f>
        <v>150</v>
      </c>
      <c r="P652" s="14">
        <f>O652*$S$3</f>
        <v>2.25</v>
      </c>
    </row>
    <row r="653" spans="1:16">
      <c r="A653" s="2">
        <v>652</v>
      </c>
      <c r="B653" s="4">
        <f>YEAR(G653)</f>
        <v>2023</v>
      </c>
      <c r="C653" s="4">
        <f>MONTH(G653)</f>
        <v>5</v>
      </c>
      <c r="D653" s="4">
        <f>DAY(G653)</f>
        <v>1</v>
      </c>
      <c r="E653" s="4" t="str">
        <f>TEXT(G653, "mmmm")</f>
        <v>May</v>
      </c>
      <c r="F653" s="4" t="str">
        <f>TEXT(G653, "dddd")</f>
        <v>Monday</v>
      </c>
      <c r="G653" s="3">
        <v>45047</v>
      </c>
      <c r="H653" s="4" t="s">
        <v>679</v>
      </c>
      <c r="I653" s="4" t="s">
        <v>20</v>
      </c>
      <c r="J653" s="4">
        <v>34</v>
      </c>
      <c r="K653" s="4" t="str" cm="1">
        <f t="array" ref="K653">_xlfn.IFS(J653&lt;30, "Young Adult", J653&lt;50, "Adult", J653&gt;=50, "Senior")</f>
        <v>Adult</v>
      </c>
      <c r="L653" s="4" t="s">
        <v>17</v>
      </c>
      <c r="M653" s="4">
        <v>2</v>
      </c>
      <c r="N653" s="5">
        <v>50</v>
      </c>
      <c r="O653">
        <f>M653*N653</f>
        <v>100</v>
      </c>
      <c r="P653" s="14">
        <f>O653*$S$3</f>
        <v>1.5</v>
      </c>
    </row>
    <row r="654" spans="1:16">
      <c r="A654" s="2">
        <v>653</v>
      </c>
      <c r="B654" s="4">
        <f>YEAR(G654)</f>
        <v>2023</v>
      </c>
      <c r="C654" s="4">
        <f>MONTH(G654)</f>
        <v>5</v>
      </c>
      <c r="D654" s="4">
        <f>DAY(G654)</f>
        <v>20</v>
      </c>
      <c r="E654" s="4" t="str">
        <f>TEXT(G654, "mmmm")</f>
        <v>May</v>
      </c>
      <c r="F654" s="4" t="str">
        <f>TEXT(G654, "dddd")</f>
        <v>Saturday</v>
      </c>
      <c r="G654" s="3">
        <v>45066</v>
      </c>
      <c r="H654" s="4" t="s">
        <v>680</v>
      </c>
      <c r="I654" s="4" t="s">
        <v>16</v>
      </c>
      <c r="J654" s="4">
        <v>54</v>
      </c>
      <c r="K654" s="4" t="str" cm="1">
        <f t="array" ref="K654">_xlfn.IFS(J654&lt;30, "Young Adult", J654&lt;50, "Adult", J654&gt;=50, "Senior")</f>
        <v>Senior</v>
      </c>
      <c r="L654" s="4" t="s">
        <v>21</v>
      </c>
      <c r="M654" s="4">
        <v>3</v>
      </c>
      <c r="N654" s="5">
        <v>25</v>
      </c>
      <c r="O654">
        <f>M654*N654</f>
        <v>75</v>
      </c>
      <c r="P654" s="14">
        <f>O654*$S$3</f>
        <v>1.125</v>
      </c>
    </row>
    <row r="655" spans="1:16">
      <c r="A655" s="2">
        <v>654</v>
      </c>
      <c r="B655" s="4">
        <f>YEAR(G655)</f>
        <v>2023</v>
      </c>
      <c r="C655" s="4">
        <f>MONTH(G655)</f>
        <v>6</v>
      </c>
      <c r="D655" s="4">
        <f>DAY(G655)</f>
        <v>21</v>
      </c>
      <c r="E655" s="4" t="str">
        <f>TEXT(G655, "mmmm")</f>
        <v>June</v>
      </c>
      <c r="F655" s="4" t="str">
        <f>TEXT(G655, "dddd")</f>
        <v>Wednesday</v>
      </c>
      <c r="G655" s="3">
        <v>45098</v>
      </c>
      <c r="H655" s="4" t="s">
        <v>681</v>
      </c>
      <c r="I655" s="4" t="s">
        <v>16</v>
      </c>
      <c r="J655" s="4">
        <v>42</v>
      </c>
      <c r="K655" s="4" t="str" cm="1">
        <f t="array" ref="K655">_xlfn.IFS(J655&lt;30, "Young Adult", J655&lt;50, "Adult", J655&gt;=50, "Senior")</f>
        <v>Adult</v>
      </c>
      <c r="L655" s="4" t="s">
        <v>21</v>
      </c>
      <c r="M655" s="4">
        <v>3</v>
      </c>
      <c r="N655" s="5">
        <v>25</v>
      </c>
      <c r="O655">
        <f>M655*N655</f>
        <v>75</v>
      </c>
      <c r="P655" s="14">
        <f>O655*$S$3</f>
        <v>1.125</v>
      </c>
    </row>
    <row r="656" spans="1:16">
      <c r="A656" s="2">
        <v>655</v>
      </c>
      <c r="B656" s="4">
        <f>YEAR(G656)</f>
        <v>2023</v>
      </c>
      <c r="C656" s="4">
        <f>MONTH(G656)</f>
        <v>6</v>
      </c>
      <c r="D656" s="4">
        <f>DAY(G656)</f>
        <v>13</v>
      </c>
      <c r="E656" s="4" t="str">
        <f>TEXT(G656, "mmmm")</f>
        <v>June</v>
      </c>
      <c r="F656" s="4" t="str">
        <f>TEXT(G656, "dddd")</f>
        <v>Tuesday</v>
      </c>
      <c r="G656" s="3">
        <v>45090</v>
      </c>
      <c r="H656" s="4" t="s">
        <v>682</v>
      </c>
      <c r="I656" s="4" t="s">
        <v>20</v>
      </c>
      <c r="J656" s="4">
        <v>55</v>
      </c>
      <c r="K656" s="4" t="str" cm="1">
        <f t="array" ref="K656">_xlfn.IFS(J656&lt;30, "Young Adult", J656&lt;50, "Adult", J656&gt;=50, "Senior")</f>
        <v>Senior</v>
      </c>
      <c r="L656" s="4" t="s">
        <v>21</v>
      </c>
      <c r="M656" s="4">
        <v>1</v>
      </c>
      <c r="N656" s="5">
        <v>500</v>
      </c>
      <c r="O656">
        <f>M656*N656</f>
        <v>500</v>
      </c>
      <c r="P656" s="14">
        <f>O656*$S$3</f>
        <v>7.5</v>
      </c>
    </row>
    <row r="657" spans="1:16">
      <c r="A657" s="2">
        <v>656</v>
      </c>
      <c r="B657" s="4">
        <f>YEAR(G657)</f>
        <v>2023</v>
      </c>
      <c r="C657" s="4">
        <f>MONTH(G657)</f>
        <v>10</v>
      </c>
      <c r="D657" s="4">
        <f>DAY(G657)</f>
        <v>4</v>
      </c>
      <c r="E657" s="4" t="str">
        <f>TEXT(G657, "mmmm")</f>
        <v>October</v>
      </c>
      <c r="F657" s="4" t="str">
        <f>TEXT(G657, "dddd")</f>
        <v>Wednesday</v>
      </c>
      <c r="G657" s="3">
        <v>45203</v>
      </c>
      <c r="H657" s="4" t="s">
        <v>683</v>
      </c>
      <c r="I657" s="4" t="s">
        <v>16</v>
      </c>
      <c r="J657" s="4">
        <v>29</v>
      </c>
      <c r="K657" s="4" t="str" cm="1">
        <f t="array" ref="K657">_xlfn.IFS(J657&lt;30, "Young Adult", J657&lt;50, "Adult", J657&gt;=50, "Senior")</f>
        <v>Young Adult</v>
      </c>
      <c r="L657" s="4" t="s">
        <v>17</v>
      </c>
      <c r="M657" s="4">
        <v>3</v>
      </c>
      <c r="N657" s="5">
        <v>30</v>
      </c>
      <c r="O657">
        <f>M657*N657</f>
        <v>90</v>
      </c>
      <c r="P657" s="14">
        <f>O657*$S$3</f>
        <v>1.3499999999999999</v>
      </c>
    </row>
    <row r="658" spans="1:16">
      <c r="A658" s="2">
        <v>657</v>
      </c>
      <c r="B658" s="4">
        <f>YEAR(G658)</f>
        <v>2023</v>
      </c>
      <c r="C658" s="4">
        <f>MONTH(G658)</f>
        <v>2</v>
      </c>
      <c r="D658" s="4">
        <f>DAY(G658)</f>
        <v>11</v>
      </c>
      <c r="E658" s="4" t="str">
        <f>TEXT(G658, "mmmm")</f>
        <v>February</v>
      </c>
      <c r="F658" s="4" t="str">
        <f>TEXT(G658, "dddd")</f>
        <v>Saturday</v>
      </c>
      <c r="G658" s="3">
        <v>44968</v>
      </c>
      <c r="H658" s="4" t="s">
        <v>684</v>
      </c>
      <c r="I658" s="4" t="s">
        <v>16</v>
      </c>
      <c r="J658" s="4">
        <v>40</v>
      </c>
      <c r="K658" s="4" t="str" cm="1">
        <f t="array" ref="K658">_xlfn.IFS(J658&lt;30, "Young Adult", J658&lt;50, "Adult", J658&gt;=50, "Senior")</f>
        <v>Adult</v>
      </c>
      <c r="L658" s="4" t="s">
        <v>21</v>
      </c>
      <c r="M658" s="4">
        <v>1</v>
      </c>
      <c r="N658" s="5">
        <v>25</v>
      </c>
      <c r="O658">
        <f>M658*N658</f>
        <v>25</v>
      </c>
      <c r="P658" s="14">
        <f>O658*$S$3</f>
        <v>0.375</v>
      </c>
    </row>
    <row r="659" spans="1:16">
      <c r="A659" s="2">
        <v>658</v>
      </c>
      <c r="B659" s="4">
        <f>YEAR(G659)</f>
        <v>2023</v>
      </c>
      <c r="C659" s="4">
        <f>MONTH(G659)</f>
        <v>3</v>
      </c>
      <c r="D659" s="4">
        <f>DAY(G659)</f>
        <v>12</v>
      </c>
      <c r="E659" s="4" t="str">
        <f>TEXT(G659, "mmmm")</f>
        <v>March</v>
      </c>
      <c r="F659" s="4" t="str">
        <f>TEXT(G659, "dddd")</f>
        <v>Sunday</v>
      </c>
      <c r="G659" s="3">
        <v>44997</v>
      </c>
      <c r="H659" s="4" t="s">
        <v>685</v>
      </c>
      <c r="I659" s="4" t="s">
        <v>16</v>
      </c>
      <c r="J659" s="4">
        <v>59</v>
      </c>
      <c r="K659" s="4" t="str" cm="1">
        <f t="array" ref="K659">_xlfn.IFS(J659&lt;30, "Young Adult", J659&lt;50, "Adult", J659&gt;=50, "Senior")</f>
        <v>Senior</v>
      </c>
      <c r="L659" s="4" t="s">
        <v>21</v>
      </c>
      <c r="M659" s="4">
        <v>1</v>
      </c>
      <c r="N659" s="5">
        <v>25</v>
      </c>
      <c r="O659">
        <f>M659*N659</f>
        <v>25</v>
      </c>
      <c r="P659" s="14">
        <f>O659*$S$3</f>
        <v>0.375</v>
      </c>
    </row>
    <row r="660" spans="1:16">
      <c r="A660" s="2">
        <v>659</v>
      </c>
      <c r="B660" s="4">
        <f>YEAR(G660)</f>
        <v>2023</v>
      </c>
      <c r="C660" s="4">
        <f>MONTH(G660)</f>
        <v>3</v>
      </c>
      <c r="D660" s="4">
        <f>DAY(G660)</f>
        <v>19</v>
      </c>
      <c r="E660" s="4" t="str">
        <f>TEXT(G660, "mmmm")</f>
        <v>March</v>
      </c>
      <c r="F660" s="4" t="str">
        <f>TEXT(G660, "dddd")</f>
        <v>Sunday</v>
      </c>
      <c r="G660" s="3">
        <v>45004</v>
      </c>
      <c r="H660" s="4" t="s">
        <v>686</v>
      </c>
      <c r="I660" s="4" t="s">
        <v>20</v>
      </c>
      <c r="J660" s="4">
        <v>39</v>
      </c>
      <c r="K660" s="4" t="str" cm="1">
        <f t="array" ref="K660">_xlfn.IFS(J660&lt;30, "Young Adult", J660&lt;50, "Adult", J660&gt;=50, "Senior")</f>
        <v>Adult</v>
      </c>
      <c r="L660" s="4" t="s">
        <v>24</v>
      </c>
      <c r="M660" s="4">
        <v>1</v>
      </c>
      <c r="N660" s="5">
        <v>30</v>
      </c>
      <c r="O660">
        <f>M660*N660</f>
        <v>30</v>
      </c>
      <c r="P660" s="14">
        <f>O660*$S$3</f>
        <v>0.44999999999999996</v>
      </c>
    </row>
    <row r="661" spans="1:16">
      <c r="A661" s="2">
        <v>660</v>
      </c>
      <c r="B661" s="4">
        <f>YEAR(G661)</f>
        <v>2023</v>
      </c>
      <c r="C661" s="4">
        <f>MONTH(G661)</f>
        <v>4</v>
      </c>
      <c r="D661" s="4">
        <f>DAY(G661)</f>
        <v>29</v>
      </c>
      <c r="E661" s="4" t="str">
        <f>TEXT(G661, "mmmm")</f>
        <v>April</v>
      </c>
      <c r="F661" s="4" t="str">
        <f>TEXT(G661, "dddd")</f>
        <v>Saturday</v>
      </c>
      <c r="G661" s="3">
        <v>45045</v>
      </c>
      <c r="H661" s="4" t="s">
        <v>687</v>
      </c>
      <c r="I661" s="4" t="s">
        <v>20</v>
      </c>
      <c r="J661" s="4">
        <v>38</v>
      </c>
      <c r="K661" s="4" t="str" cm="1">
        <f t="array" ref="K661">_xlfn.IFS(J661&lt;30, "Young Adult", J661&lt;50, "Adult", J661&gt;=50, "Senior")</f>
        <v>Adult</v>
      </c>
      <c r="L661" s="4" t="s">
        <v>17</v>
      </c>
      <c r="M661" s="4">
        <v>2</v>
      </c>
      <c r="N661" s="5">
        <v>500</v>
      </c>
      <c r="O661">
        <f>M661*N661</f>
        <v>1000</v>
      </c>
      <c r="P661" s="14">
        <f>O661*$S$3</f>
        <v>15</v>
      </c>
    </row>
    <row r="662" spans="1:16">
      <c r="A662" s="2">
        <v>661</v>
      </c>
      <c r="B662" s="4">
        <f>YEAR(G662)</f>
        <v>2023</v>
      </c>
      <c r="C662" s="4">
        <f>MONTH(G662)</f>
        <v>7</v>
      </c>
      <c r="D662" s="4">
        <f>DAY(G662)</f>
        <v>16</v>
      </c>
      <c r="E662" s="4" t="str">
        <f>TEXT(G662, "mmmm")</f>
        <v>July</v>
      </c>
      <c r="F662" s="4" t="str">
        <f>TEXT(G662, "dddd")</f>
        <v>Sunday</v>
      </c>
      <c r="G662" s="3">
        <v>45123</v>
      </c>
      <c r="H662" s="4" t="s">
        <v>688</v>
      </c>
      <c r="I662" s="4" t="s">
        <v>20</v>
      </c>
      <c r="J662" s="4">
        <v>44</v>
      </c>
      <c r="K662" s="4" t="str" cm="1">
        <f t="array" ref="K662">_xlfn.IFS(J662&lt;30, "Young Adult", J662&lt;50, "Adult", J662&gt;=50, "Senior")</f>
        <v>Adult</v>
      </c>
      <c r="L662" s="4" t="s">
        <v>21</v>
      </c>
      <c r="M662" s="4">
        <v>4</v>
      </c>
      <c r="N662" s="5">
        <v>25</v>
      </c>
      <c r="O662">
        <f>M662*N662</f>
        <v>100</v>
      </c>
      <c r="P662" s="14">
        <f>O662*$S$3</f>
        <v>1.5</v>
      </c>
    </row>
    <row r="663" spans="1:16">
      <c r="A663" s="2">
        <v>662</v>
      </c>
      <c r="B663" s="4">
        <f>YEAR(G663)</f>
        <v>2023</v>
      </c>
      <c r="C663" s="4">
        <f>MONTH(G663)</f>
        <v>12</v>
      </c>
      <c r="D663" s="4">
        <f>DAY(G663)</f>
        <v>22</v>
      </c>
      <c r="E663" s="4" t="str">
        <f>TEXT(G663, "mmmm")</f>
        <v>December</v>
      </c>
      <c r="F663" s="4" t="str">
        <f>TEXT(G663, "dddd")</f>
        <v>Friday</v>
      </c>
      <c r="G663" s="3">
        <v>45282</v>
      </c>
      <c r="H663" s="4" t="s">
        <v>689</v>
      </c>
      <c r="I663" s="4" t="s">
        <v>16</v>
      </c>
      <c r="J663" s="4">
        <v>48</v>
      </c>
      <c r="K663" s="4" t="str" cm="1">
        <f t="array" ref="K663">_xlfn.IFS(J663&lt;30, "Young Adult", J663&lt;50, "Adult", J663&gt;=50, "Senior")</f>
        <v>Adult</v>
      </c>
      <c r="L663" s="4" t="s">
        <v>17</v>
      </c>
      <c r="M663" s="4">
        <v>2</v>
      </c>
      <c r="N663" s="5">
        <v>500</v>
      </c>
      <c r="O663">
        <f>M663*N663</f>
        <v>1000</v>
      </c>
      <c r="P663" s="14">
        <f>O663*$S$3</f>
        <v>15</v>
      </c>
    </row>
    <row r="664" spans="1:16">
      <c r="A664" s="2">
        <v>663</v>
      </c>
      <c r="B664" s="4">
        <f>YEAR(G664)</f>
        <v>2023</v>
      </c>
      <c r="C664" s="4">
        <f>MONTH(G664)</f>
        <v>3</v>
      </c>
      <c r="D664" s="4">
        <f>DAY(G664)</f>
        <v>20</v>
      </c>
      <c r="E664" s="4" t="str">
        <f>TEXT(G664, "mmmm")</f>
        <v>March</v>
      </c>
      <c r="F664" s="4" t="str">
        <f>TEXT(G664, "dddd")</f>
        <v>Monday</v>
      </c>
      <c r="G664" s="3">
        <v>45005</v>
      </c>
      <c r="H664" s="4" t="s">
        <v>690</v>
      </c>
      <c r="I664" s="4" t="s">
        <v>16</v>
      </c>
      <c r="J664" s="4">
        <v>23</v>
      </c>
      <c r="K664" s="4" t="str" cm="1">
        <f t="array" ref="K664">_xlfn.IFS(J664&lt;30, "Young Adult", J664&lt;50, "Adult", J664&gt;=50, "Senior")</f>
        <v>Young Adult</v>
      </c>
      <c r="L664" s="4" t="s">
        <v>21</v>
      </c>
      <c r="M664" s="4">
        <v>4</v>
      </c>
      <c r="N664" s="5">
        <v>300</v>
      </c>
      <c r="O664">
        <f>M664*N664</f>
        <v>1200</v>
      </c>
      <c r="P664" s="14">
        <f>O664*$S$3</f>
        <v>18</v>
      </c>
    </row>
    <row r="665" spans="1:16">
      <c r="A665" s="2">
        <v>664</v>
      </c>
      <c r="B665" s="4">
        <f>YEAR(G665)</f>
        <v>2023</v>
      </c>
      <c r="C665" s="4">
        <f>MONTH(G665)</f>
        <v>12</v>
      </c>
      <c r="D665" s="4">
        <f>DAY(G665)</f>
        <v>28</v>
      </c>
      <c r="E665" s="4" t="str">
        <f>TEXT(G665, "mmmm")</f>
        <v>December</v>
      </c>
      <c r="F665" s="4" t="str">
        <f>TEXT(G665, "dddd")</f>
        <v>Thursday</v>
      </c>
      <c r="G665" s="3">
        <v>45288</v>
      </c>
      <c r="H665" s="4" t="s">
        <v>691</v>
      </c>
      <c r="I665" s="4" t="s">
        <v>20</v>
      </c>
      <c r="J665" s="4">
        <v>44</v>
      </c>
      <c r="K665" s="4" t="str" cm="1">
        <f t="array" ref="K665">_xlfn.IFS(J665&lt;30, "Young Adult", J665&lt;50, "Adult", J665&gt;=50, "Senior")</f>
        <v>Adult</v>
      </c>
      <c r="L665" s="4" t="s">
        <v>21</v>
      </c>
      <c r="M665" s="4">
        <v>4</v>
      </c>
      <c r="N665" s="5">
        <v>500</v>
      </c>
      <c r="O665">
        <f>M665*N665</f>
        <v>2000</v>
      </c>
      <c r="P665" s="14">
        <f>O665*$S$3</f>
        <v>30</v>
      </c>
    </row>
    <row r="666" spans="1:16">
      <c r="A666" s="2">
        <v>665</v>
      </c>
      <c r="B666" s="4">
        <f>YEAR(G666)</f>
        <v>2023</v>
      </c>
      <c r="C666" s="4">
        <f>MONTH(G666)</f>
        <v>4</v>
      </c>
      <c r="D666" s="4">
        <f>DAY(G666)</f>
        <v>20</v>
      </c>
      <c r="E666" s="4" t="str">
        <f>TEXT(G666, "mmmm")</f>
        <v>April</v>
      </c>
      <c r="F666" s="4" t="str">
        <f>TEXT(G666, "dddd")</f>
        <v>Thursday</v>
      </c>
      <c r="G666" s="3">
        <v>45036</v>
      </c>
      <c r="H666" s="4" t="s">
        <v>692</v>
      </c>
      <c r="I666" s="4" t="s">
        <v>16</v>
      </c>
      <c r="J666" s="4">
        <v>57</v>
      </c>
      <c r="K666" s="4" t="str" cm="1">
        <f t="array" ref="K666">_xlfn.IFS(J666&lt;30, "Young Adult", J666&lt;50, "Adult", J666&gt;=50, "Senior")</f>
        <v>Senior</v>
      </c>
      <c r="L666" s="4" t="s">
        <v>21</v>
      </c>
      <c r="M666" s="4">
        <v>1</v>
      </c>
      <c r="N666" s="5">
        <v>50</v>
      </c>
      <c r="O666">
        <f>M666*N666</f>
        <v>50</v>
      </c>
      <c r="P666" s="14">
        <f>O666*$S$3</f>
        <v>0.75</v>
      </c>
    </row>
    <row r="667" spans="1:16">
      <c r="A667" s="2">
        <v>666</v>
      </c>
      <c r="B667" s="4">
        <f>YEAR(G667)</f>
        <v>2023</v>
      </c>
      <c r="C667" s="4">
        <f>MONTH(G667)</f>
        <v>2</v>
      </c>
      <c r="D667" s="4">
        <f>DAY(G667)</f>
        <v>2</v>
      </c>
      <c r="E667" s="4" t="str">
        <f>TEXT(G667, "mmmm")</f>
        <v>February</v>
      </c>
      <c r="F667" s="4" t="str">
        <f>TEXT(G667, "dddd")</f>
        <v>Thursday</v>
      </c>
      <c r="G667" s="3">
        <v>44959</v>
      </c>
      <c r="H667" s="4" t="s">
        <v>693</v>
      </c>
      <c r="I667" s="4" t="s">
        <v>16</v>
      </c>
      <c r="J667" s="4">
        <v>51</v>
      </c>
      <c r="K667" s="4" t="str" cm="1">
        <f t="array" ref="K667">_xlfn.IFS(J667&lt;30, "Young Adult", J667&lt;50, "Adult", J667&gt;=50, "Senior")</f>
        <v>Senior</v>
      </c>
      <c r="L667" s="4" t="s">
        <v>24</v>
      </c>
      <c r="M667" s="4">
        <v>3</v>
      </c>
      <c r="N667" s="5">
        <v>50</v>
      </c>
      <c r="O667">
        <f>M667*N667</f>
        <v>150</v>
      </c>
      <c r="P667" s="14">
        <f>O667*$S$3</f>
        <v>2.25</v>
      </c>
    </row>
    <row r="668" spans="1:16">
      <c r="A668" s="2">
        <v>667</v>
      </c>
      <c r="B668" s="4">
        <f>YEAR(G668)</f>
        <v>2023</v>
      </c>
      <c r="C668" s="4">
        <f>MONTH(G668)</f>
        <v>8</v>
      </c>
      <c r="D668" s="4">
        <f>DAY(G668)</f>
        <v>1</v>
      </c>
      <c r="E668" s="4" t="str">
        <f>TEXT(G668, "mmmm")</f>
        <v>August</v>
      </c>
      <c r="F668" s="4" t="str">
        <f>TEXT(G668, "dddd")</f>
        <v>Tuesday</v>
      </c>
      <c r="G668" s="3">
        <v>45139</v>
      </c>
      <c r="H668" s="4" t="s">
        <v>694</v>
      </c>
      <c r="I668" s="4" t="s">
        <v>20</v>
      </c>
      <c r="J668" s="4">
        <v>29</v>
      </c>
      <c r="K668" s="4" t="str" cm="1">
        <f t="array" ref="K668">_xlfn.IFS(J668&lt;30, "Young Adult", J668&lt;50, "Adult", J668&gt;=50, "Senior")</f>
        <v>Young Adult</v>
      </c>
      <c r="L668" s="4" t="s">
        <v>24</v>
      </c>
      <c r="M668" s="4">
        <v>1</v>
      </c>
      <c r="N668" s="5">
        <v>500</v>
      </c>
      <c r="O668">
        <f>M668*N668</f>
        <v>500</v>
      </c>
      <c r="P668" s="14">
        <f>O668*$S$3</f>
        <v>7.5</v>
      </c>
    </row>
    <row r="669" spans="1:16">
      <c r="A669" s="2">
        <v>668</v>
      </c>
      <c r="B669" s="4">
        <f>YEAR(G669)</f>
        <v>2023</v>
      </c>
      <c r="C669" s="4">
        <f>MONTH(G669)</f>
        <v>7</v>
      </c>
      <c r="D669" s="4">
        <f>DAY(G669)</f>
        <v>28</v>
      </c>
      <c r="E669" s="4" t="str">
        <f>TEXT(G669, "mmmm")</f>
        <v>July</v>
      </c>
      <c r="F669" s="4" t="str">
        <f>TEXT(G669, "dddd")</f>
        <v>Friday</v>
      </c>
      <c r="G669" s="3">
        <v>45135</v>
      </c>
      <c r="H669" s="4" t="s">
        <v>695</v>
      </c>
      <c r="I669" s="4" t="s">
        <v>20</v>
      </c>
      <c r="J669" s="4">
        <v>62</v>
      </c>
      <c r="K669" s="4" t="str" cm="1">
        <f t="array" ref="K669">_xlfn.IFS(J669&lt;30, "Young Adult", J669&lt;50, "Adult", J669&gt;=50, "Senior")</f>
        <v>Senior</v>
      </c>
      <c r="L669" s="4" t="s">
        <v>24</v>
      </c>
      <c r="M669" s="4">
        <v>3</v>
      </c>
      <c r="N669" s="5">
        <v>50</v>
      </c>
      <c r="O669">
        <f>M669*N669</f>
        <v>150</v>
      </c>
      <c r="P669" s="14">
        <f>O669*$S$3</f>
        <v>2.25</v>
      </c>
    </row>
    <row r="670" spans="1:16">
      <c r="A670" s="2">
        <v>669</v>
      </c>
      <c r="B670" s="4">
        <f>YEAR(G670)</f>
        <v>2023</v>
      </c>
      <c r="C670" s="4">
        <f>MONTH(G670)</f>
        <v>6</v>
      </c>
      <c r="D670" s="4">
        <f>DAY(G670)</f>
        <v>19</v>
      </c>
      <c r="E670" s="4" t="str">
        <f>TEXT(G670, "mmmm")</f>
        <v>June</v>
      </c>
      <c r="F670" s="4" t="str">
        <f>TEXT(G670, "dddd")</f>
        <v>Monday</v>
      </c>
      <c r="G670" s="3">
        <v>45096</v>
      </c>
      <c r="H670" s="4" t="s">
        <v>696</v>
      </c>
      <c r="I670" s="4" t="s">
        <v>16</v>
      </c>
      <c r="J670" s="4">
        <v>24</v>
      </c>
      <c r="K670" s="4" t="str" cm="1">
        <f t="array" ref="K670">_xlfn.IFS(J670&lt;30, "Young Adult", J670&lt;50, "Adult", J670&gt;=50, "Senior")</f>
        <v>Young Adult</v>
      </c>
      <c r="L670" s="4" t="s">
        <v>17</v>
      </c>
      <c r="M670" s="4">
        <v>4</v>
      </c>
      <c r="N670" s="5">
        <v>300</v>
      </c>
      <c r="O670">
        <f>M670*N670</f>
        <v>1200</v>
      </c>
      <c r="P670" s="14">
        <f>O670*$S$3</f>
        <v>18</v>
      </c>
    </row>
    <row r="671" spans="1:16">
      <c r="A671" s="2">
        <v>670</v>
      </c>
      <c r="B671" s="4">
        <f>YEAR(G671)</f>
        <v>2023</v>
      </c>
      <c r="C671" s="4">
        <f>MONTH(G671)</f>
        <v>10</v>
      </c>
      <c r="D671" s="4">
        <f>DAY(G671)</f>
        <v>5</v>
      </c>
      <c r="E671" s="4" t="str">
        <f>TEXT(G671, "mmmm")</f>
        <v>October</v>
      </c>
      <c r="F671" s="4" t="str">
        <f>TEXT(G671, "dddd")</f>
        <v>Thursday</v>
      </c>
      <c r="G671" s="3">
        <v>45204</v>
      </c>
      <c r="H671" s="4" t="s">
        <v>697</v>
      </c>
      <c r="I671" s="4" t="s">
        <v>16</v>
      </c>
      <c r="J671" s="4">
        <v>27</v>
      </c>
      <c r="K671" s="4" t="str" cm="1">
        <f t="array" ref="K671">_xlfn.IFS(J671&lt;30, "Young Adult", J671&lt;50, "Adult", J671&gt;=50, "Senior")</f>
        <v>Young Adult</v>
      </c>
      <c r="L671" s="4" t="s">
        <v>17</v>
      </c>
      <c r="M671" s="4">
        <v>1</v>
      </c>
      <c r="N671" s="5">
        <v>30</v>
      </c>
      <c r="O671">
        <f>M671*N671</f>
        <v>30</v>
      </c>
      <c r="P671" s="14">
        <f>O671*$S$3</f>
        <v>0.44999999999999996</v>
      </c>
    </row>
    <row r="672" spans="1:16">
      <c r="A672" s="2">
        <v>671</v>
      </c>
      <c r="B672" s="4">
        <f>YEAR(G672)</f>
        <v>2023</v>
      </c>
      <c r="C672" s="4">
        <f>MONTH(G672)</f>
        <v>8</v>
      </c>
      <c r="D672" s="4">
        <f>DAY(G672)</f>
        <v>27</v>
      </c>
      <c r="E672" s="4" t="str">
        <f>TEXT(G672, "mmmm")</f>
        <v>August</v>
      </c>
      <c r="F672" s="4" t="str">
        <f>TEXT(G672, "dddd")</f>
        <v>Sunday</v>
      </c>
      <c r="G672" s="3">
        <v>45165</v>
      </c>
      <c r="H672" s="4" t="s">
        <v>698</v>
      </c>
      <c r="I672" s="4" t="s">
        <v>16</v>
      </c>
      <c r="J672" s="4">
        <v>62</v>
      </c>
      <c r="K672" s="4" t="str" cm="1">
        <f t="array" ref="K672">_xlfn.IFS(J672&lt;30, "Young Adult", J672&lt;50, "Adult", J672&gt;=50, "Senior")</f>
        <v>Senior</v>
      </c>
      <c r="L672" s="4" t="s">
        <v>24</v>
      </c>
      <c r="M672" s="4">
        <v>3</v>
      </c>
      <c r="N672" s="5">
        <v>50</v>
      </c>
      <c r="O672">
        <f>M672*N672</f>
        <v>150</v>
      </c>
      <c r="P672" s="14">
        <f>O672*$S$3</f>
        <v>2.25</v>
      </c>
    </row>
    <row r="673" spans="1:16">
      <c r="A673" s="2">
        <v>672</v>
      </c>
      <c r="B673" s="4">
        <f>YEAR(G673)</f>
        <v>2023</v>
      </c>
      <c r="C673" s="4">
        <f>MONTH(G673)</f>
        <v>8</v>
      </c>
      <c r="D673" s="4">
        <f>DAY(G673)</f>
        <v>1</v>
      </c>
      <c r="E673" s="4" t="str">
        <f>TEXT(G673, "mmmm")</f>
        <v>August</v>
      </c>
      <c r="F673" s="4" t="str">
        <f>TEXT(G673, "dddd")</f>
        <v>Tuesday</v>
      </c>
      <c r="G673" s="3">
        <v>45139</v>
      </c>
      <c r="H673" s="4" t="s">
        <v>699</v>
      </c>
      <c r="I673" s="4" t="s">
        <v>20</v>
      </c>
      <c r="J673" s="4">
        <v>34</v>
      </c>
      <c r="K673" s="4" t="str" cm="1">
        <f t="array" ref="K673">_xlfn.IFS(J673&lt;30, "Young Adult", J673&lt;50, "Adult", J673&gt;=50, "Senior")</f>
        <v>Adult</v>
      </c>
      <c r="L673" s="4" t="s">
        <v>17</v>
      </c>
      <c r="M673" s="4">
        <v>2</v>
      </c>
      <c r="N673" s="5">
        <v>50</v>
      </c>
      <c r="O673">
        <f>M673*N673</f>
        <v>100</v>
      </c>
      <c r="P673" s="14">
        <f>O673*$S$3</f>
        <v>1.5</v>
      </c>
    </row>
    <row r="674" spans="1:16">
      <c r="A674" s="2">
        <v>673</v>
      </c>
      <c r="B674" s="4">
        <f>YEAR(G674)</f>
        <v>2023</v>
      </c>
      <c r="C674" s="4">
        <f>MONTH(G674)</f>
        <v>2</v>
      </c>
      <c r="D674" s="4">
        <f>DAY(G674)</f>
        <v>1</v>
      </c>
      <c r="E674" s="4" t="str">
        <f>TEXT(G674, "mmmm")</f>
        <v>February</v>
      </c>
      <c r="F674" s="4" t="str">
        <f>TEXT(G674, "dddd")</f>
        <v>Wednesday</v>
      </c>
      <c r="G674" s="3">
        <v>44958</v>
      </c>
      <c r="H674" s="4" t="s">
        <v>700</v>
      </c>
      <c r="I674" s="4" t="s">
        <v>20</v>
      </c>
      <c r="J674" s="4">
        <v>43</v>
      </c>
      <c r="K674" s="4" t="str" cm="1">
        <f t="array" ref="K674">_xlfn.IFS(J674&lt;30, "Young Adult", J674&lt;50, "Adult", J674&gt;=50, "Senior")</f>
        <v>Adult</v>
      </c>
      <c r="L674" s="4" t="s">
        <v>21</v>
      </c>
      <c r="M674" s="4">
        <v>3</v>
      </c>
      <c r="N674" s="5">
        <v>500</v>
      </c>
      <c r="O674">
        <f>M674*N674</f>
        <v>1500</v>
      </c>
      <c r="P674" s="14">
        <f>O674*$S$3</f>
        <v>22.5</v>
      </c>
    </row>
    <row r="675" spans="1:16">
      <c r="A675" s="2">
        <v>674</v>
      </c>
      <c r="B675" s="4">
        <f>YEAR(G675)</f>
        <v>2023</v>
      </c>
      <c r="C675" s="4">
        <f>MONTH(G675)</f>
        <v>4</v>
      </c>
      <c r="D675" s="4">
        <f>DAY(G675)</f>
        <v>16</v>
      </c>
      <c r="E675" s="4" t="str">
        <f>TEXT(G675, "mmmm")</f>
        <v>April</v>
      </c>
      <c r="F675" s="4" t="str">
        <f>TEXT(G675, "dddd")</f>
        <v>Sunday</v>
      </c>
      <c r="G675" s="3">
        <v>45032</v>
      </c>
      <c r="H675" s="4" t="s">
        <v>701</v>
      </c>
      <c r="I675" s="4" t="s">
        <v>20</v>
      </c>
      <c r="J675" s="4">
        <v>38</v>
      </c>
      <c r="K675" s="4" t="str" cm="1">
        <f t="array" ref="K675">_xlfn.IFS(J675&lt;30, "Young Adult", J675&lt;50, "Adult", J675&gt;=50, "Senior")</f>
        <v>Adult</v>
      </c>
      <c r="L675" s="4" t="s">
        <v>21</v>
      </c>
      <c r="M675" s="4">
        <v>1</v>
      </c>
      <c r="N675" s="5">
        <v>300</v>
      </c>
      <c r="O675">
        <f>M675*N675</f>
        <v>300</v>
      </c>
      <c r="P675" s="14">
        <f>O675*$S$3</f>
        <v>4.5</v>
      </c>
    </row>
    <row r="676" spans="1:16">
      <c r="A676" s="2">
        <v>675</v>
      </c>
      <c r="B676" s="4">
        <f>YEAR(G676)</f>
        <v>2023</v>
      </c>
      <c r="C676" s="4">
        <f>MONTH(G676)</f>
        <v>8</v>
      </c>
      <c r="D676" s="4">
        <f>DAY(G676)</f>
        <v>4</v>
      </c>
      <c r="E676" s="4" t="str">
        <f>TEXT(G676, "mmmm")</f>
        <v>August</v>
      </c>
      <c r="F676" s="4" t="str">
        <f>TEXT(G676, "dddd")</f>
        <v>Friday</v>
      </c>
      <c r="G676" s="3">
        <v>45142</v>
      </c>
      <c r="H676" s="4" t="s">
        <v>702</v>
      </c>
      <c r="I676" s="4" t="s">
        <v>20</v>
      </c>
      <c r="J676" s="4">
        <v>45</v>
      </c>
      <c r="K676" s="4" t="str" cm="1">
        <f t="array" ref="K676">_xlfn.IFS(J676&lt;30, "Young Adult", J676&lt;50, "Adult", J676&gt;=50, "Senior")</f>
        <v>Adult</v>
      </c>
      <c r="L676" s="4" t="s">
        <v>21</v>
      </c>
      <c r="M676" s="4">
        <v>2</v>
      </c>
      <c r="N676" s="5">
        <v>30</v>
      </c>
      <c r="O676">
        <f>M676*N676</f>
        <v>60</v>
      </c>
      <c r="P676" s="14">
        <f>O676*$S$3</f>
        <v>0.89999999999999991</v>
      </c>
    </row>
    <row r="677" spans="1:16">
      <c r="A677" s="2">
        <v>676</v>
      </c>
      <c r="B677" s="4">
        <f>YEAR(G677)</f>
        <v>2023</v>
      </c>
      <c r="C677" s="4">
        <f>MONTH(G677)</f>
        <v>7</v>
      </c>
      <c r="D677" s="4">
        <f>DAY(G677)</f>
        <v>19</v>
      </c>
      <c r="E677" s="4" t="str">
        <f>TEXT(G677, "mmmm")</f>
        <v>July</v>
      </c>
      <c r="F677" s="4" t="str">
        <f>TEXT(G677, "dddd")</f>
        <v>Wednesday</v>
      </c>
      <c r="G677" s="3">
        <v>45126</v>
      </c>
      <c r="H677" s="4" t="s">
        <v>703</v>
      </c>
      <c r="I677" s="4" t="s">
        <v>16</v>
      </c>
      <c r="J677" s="4">
        <v>63</v>
      </c>
      <c r="K677" s="4" t="str" cm="1">
        <f t="array" ref="K677">_xlfn.IFS(J677&lt;30, "Young Adult", J677&lt;50, "Adult", J677&gt;=50, "Senior")</f>
        <v>Senior</v>
      </c>
      <c r="L677" s="4" t="s">
        <v>24</v>
      </c>
      <c r="M677" s="4">
        <v>3</v>
      </c>
      <c r="N677" s="5">
        <v>500</v>
      </c>
      <c r="O677">
        <f>M677*N677</f>
        <v>1500</v>
      </c>
      <c r="P677" s="14">
        <f>O677*$S$3</f>
        <v>22.5</v>
      </c>
    </row>
    <row r="678" spans="1:16">
      <c r="A678" s="2">
        <v>677</v>
      </c>
      <c r="B678" s="4">
        <f>YEAR(G678)</f>
        <v>2023</v>
      </c>
      <c r="C678" s="4">
        <f>MONTH(G678)</f>
        <v>10</v>
      </c>
      <c r="D678" s="4">
        <f>DAY(G678)</f>
        <v>27</v>
      </c>
      <c r="E678" s="4" t="str">
        <f>TEXT(G678, "mmmm")</f>
        <v>October</v>
      </c>
      <c r="F678" s="4" t="str">
        <f>TEXT(G678, "dddd")</f>
        <v>Friday</v>
      </c>
      <c r="G678" s="3">
        <v>45226</v>
      </c>
      <c r="H678" s="4" t="s">
        <v>704</v>
      </c>
      <c r="I678" s="4" t="s">
        <v>20</v>
      </c>
      <c r="J678" s="4">
        <v>19</v>
      </c>
      <c r="K678" s="4" t="str" cm="1">
        <f t="array" ref="K678">_xlfn.IFS(J678&lt;30, "Young Adult", J678&lt;50, "Adult", J678&gt;=50, "Senior")</f>
        <v>Young Adult</v>
      </c>
      <c r="L678" s="4" t="s">
        <v>17</v>
      </c>
      <c r="M678" s="4">
        <v>3</v>
      </c>
      <c r="N678" s="5">
        <v>500</v>
      </c>
      <c r="O678">
        <f>M678*N678</f>
        <v>1500</v>
      </c>
      <c r="P678" s="14">
        <f>O678*$S$3</f>
        <v>22.5</v>
      </c>
    </row>
    <row r="679" spans="1:16">
      <c r="A679" s="2">
        <v>678</v>
      </c>
      <c r="B679" s="4">
        <f>YEAR(G679)</f>
        <v>2023</v>
      </c>
      <c r="C679" s="4">
        <f>MONTH(G679)</f>
        <v>12</v>
      </c>
      <c r="D679" s="4">
        <f>DAY(G679)</f>
        <v>23</v>
      </c>
      <c r="E679" s="4" t="str">
        <f>TEXT(G679, "mmmm")</f>
        <v>December</v>
      </c>
      <c r="F679" s="4" t="str">
        <f>TEXT(G679, "dddd")</f>
        <v>Saturday</v>
      </c>
      <c r="G679" s="3">
        <v>45283</v>
      </c>
      <c r="H679" s="4" t="s">
        <v>705</v>
      </c>
      <c r="I679" s="4" t="s">
        <v>20</v>
      </c>
      <c r="J679" s="4">
        <v>60</v>
      </c>
      <c r="K679" s="4" t="str" cm="1">
        <f t="array" ref="K679">_xlfn.IFS(J679&lt;30, "Young Adult", J679&lt;50, "Adult", J679&gt;=50, "Senior")</f>
        <v>Senior</v>
      </c>
      <c r="L679" s="4" t="s">
        <v>24</v>
      </c>
      <c r="M679" s="4">
        <v>3</v>
      </c>
      <c r="N679" s="5">
        <v>300</v>
      </c>
      <c r="O679">
        <f>M679*N679</f>
        <v>900</v>
      </c>
      <c r="P679" s="14">
        <f>O679*$S$3</f>
        <v>13.5</v>
      </c>
    </row>
    <row r="680" spans="1:16">
      <c r="A680" s="2">
        <v>679</v>
      </c>
      <c r="B680" s="4">
        <f>YEAR(G680)</f>
        <v>2023</v>
      </c>
      <c r="C680" s="4">
        <f>MONTH(G680)</f>
        <v>1</v>
      </c>
      <c r="D680" s="4">
        <f>DAY(G680)</f>
        <v>11</v>
      </c>
      <c r="E680" s="4" t="str">
        <f>TEXT(G680, "mmmm")</f>
        <v>January</v>
      </c>
      <c r="F680" s="4" t="str">
        <f>TEXT(G680, "dddd")</f>
        <v>Wednesday</v>
      </c>
      <c r="G680" s="3">
        <v>44937</v>
      </c>
      <c r="H680" s="4" t="s">
        <v>706</v>
      </c>
      <c r="I680" s="4" t="s">
        <v>20</v>
      </c>
      <c r="J680" s="4">
        <v>18</v>
      </c>
      <c r="K680" s="4" t="str" cm="1">
        <f t="array" ref="K680">_xlfn.IFS(J680&lt;30, "Young Adult", J680&lt;50, "Adult", J680&gt;=50, "Senior")</f>
        <v>Young Adult</v>
      </c>
      <c r="L680" s="4" t="s">
        <v>17</v>
      </c>
      <c r="M680" s="4">
        <v>3</v>
      </c>
      <c r="N680" s="5">
        <v>30</v>
      </c>
      <c r="O680">
        <f>M680*N680</f>
        <v>90</v>
      </c>
      <c r="P680" s="14">
        <f>O680*$S$3</f>
        <v>1.3499999999999999</v>
      </c>
    </row>
    <row r="681" spans="1:16">
      <c r="A681" s="2">
        <v>680</v>
      </c>
      <c r="B681" s="4">
        <f>YEAR(G681)</f>
        <v>2023</v>
      </c>
      <c r="C681" s="4">
        <f>MONTH(G681)</f>
        <v>10</v>
      </c>
      <c r="D681" s="4">
        <f>DAY(G681)</f>
        <v>22</v>
      </c>
      <c r="E681" s="4" t="str">
        <f>TEXT(G681, "mmmm")</f>
        <v>October</v>
      </c>
      <c r="F681" s="4" t="str">
        <f>TEXT(G681, "dddd")</f>
        <v>Sunday</v>
      </c>
      <c r="G681" s="3">
        <v>45221</v>
      </c>
      <c r="H681" s="4" t="s">
        <v>707</v>
      </c>
      <c r="I681" s="4" t="s">
        <v>20</v>
      </c>
      <c r="J681" s="4">
        <v>53</v>
      </c>
      <c r="K681" s="4" t="str" cm="1">
        <f t="array" ref="K681">_xlfn.IFS(J681&lt;30, "Young Adult", J681&lt;50, "Adult", J681&gt;=50, "Senior")</f>
        <v>Senior</v>
      </c>
      <c r="L681" s="4" t="s">
        <v>21</v>
      </c>
      <c r="M681" s="4">
        <v>3</v>
      </c>
      <c r="N681" s="5">
        <v>300</v>
      </c>
      <c r="O681">
        <f>M681*N681</f>
        <v>900</v>
      </c>
      <c r="P681" s="14">
        <f>O681*$S$3</f>
        <v>13.5</v>
      </c>
    </row>
    <row r="682" spans="1:16">
      <c r="A682" s="2">
        <v>681</v>
      </c>
      <c r="B682" s="4">
        <f>YEAR(G682)</f>
        <v>2023</v>
      </c>
      <c r="C682" s="4">
        <f>MONTH(G682)</f>
        <v>7</v>
      </c>
      <c r="D682" s="4">
        <f>DAY(G682)</f>
        <v>14</v>
      </c>
      <c r="E682" s="4" t="str">
        <f>TEXT(G682, "mmmm")</f>
        <v>July</v>
      </c>
      <c r="F682" s="4" t="str">
        <f>TEXT(G682, "dddd")</f>
        <v>Friday</v>
      </c>
      <c r="G682" s="3">
        <v>45121</v>
      </c>
      <c r="H682" s="4" t="s">
        <v>708</v>
      </c>
      <c r="I682" s="4" t="s">
        <v>20</v>
      </c>
      <c r="J682" s="4">
        <v>43</v>
      </c>
      <c r="K682" s="4" t="str" cm="1">
        <f t="array" ref="K682">_xlfn.IFS(J682&lt;30, "Young Adult", J682&lt;50, "Adult", J682&gt;=50, "Senior")</f>
        <v>Adult</v>
      </c>
      <c r="L682" s="4" t="s">
        <v>24</v>
      </c>
      <c r="M682" s="4">
        <v>2</v>
      </c>
      <c r="N682" s="5">
        <v>30</v>
      </c>
      <c r="O682">
        <f>M682*N682</f>
        <v>60</v>
      </c>
      <c r="P682" s="14">
        <f>O682*$S$3</f>
        <v>0.89999999999999991</v>
      </c>
    </row>
    <row r="683" spans="1:16">
      <c r="A683" s="2">
        <v>682</v>
      </c>
      <c r="B683" s="4">
        <f>YEAR(G683)</f>
        <v>2023</v>
      </c>
      <c r="C683" s="4">
        <f>MONTH(G683)</f>
        <v>9</v>
      </c>
      <c r="D683" s="4">
        <f>DAY(G683)</f>
        <v>2</v>
      </c>
      <c r="E683" s="4" t="str">
        <f>TEXT(G683, "mmmm")</f>
        <v>September</v>
      </c>
      <c r="F683" s="4" t="str">
        <f>TEXT(G683, "dddd")</f>
        <v>Saturday</v>
      </c>
      <c r="G683" s="3">
        <v>45171</v>
      </c>
      <c r="H683" s="4" t="s">
        <v>709</v>
      </c>
      <c r="I683" s="4" t="s">
        <v>16</v>
      </c>
      <c r="J683" s="4">
        <v>46</v>
      </c>
      <c r="K683" s="4" t="str" cm="1">
        <f t="array" ref="K683">_xlfn.IFS(J683&lt;30, "Young Adult", J683&lt;50, "Adult", J683&gt;=50, "Senior")</f>
        <v>Adult</v>
      </c>
      <c r="L683" s="4" t="s">
        <v>17</v>
      </c>
      <c r="M683" s="4">
        <v>4</v>
      </c>
      <c r="N683" s="5">
        <v>300</v>
      </c>
      <c r="O683">
        <f>M683*N683</f>
        <v>1200</v>
      </c>
      <c r="P683" s="14">
        <f>O683*$S$3</f>
        <v>18</v>
      </c>
    </row>
    <row r="684" spans="1:16">
      <c r="A684" s="2">
        <v>683</v>
      </c>
      <c r="B684" s="4">
        <f>YEAR(G684)</f>
        <v>2023</v>
      </c>
      <c r="C684" s="4">
        <f>MONTH(G684)</f>
        <v>1</v>
      </c>
      <c r="D684" s="4">
        <f>DAY(G684)</f>
        <v>4</v>
      </c>
      <c r="E684" s="4" t="str">
        <f>TEXT(G684, "mmmm")</f>
        <v>January</v>
      </c>
      <c r="F684" s="4" t="str">
        <f>TEXT(G684, "dddd")</f>
        <v>Wednesday</v>
      </c>
      <c r="G684" s="3">
        <v>44930</v>
      </c>
      <c r="H684" s="4" t="s">
        <v>710</v>
      </c>
      <c r="I684" s="4" t="s">
        <v>16</v>
      </c>
      <c r="J684" s="4">
        <v>38</v>
      </c>
      <c r="K684" s="4" t="str" cm="1">
        <f t="array" ref="K684">_xlfn.IFS(J684&lt;30, "Young Adult", J684&lt;50, "Adult", J684&gt;=50, "Senior")</f>
        <v>Adult</v>
      </c>
      <c r="L684" s="4" t="s">
        <v>17</v>
      </c>
      <c r="M684" s="4">
        <v>2</v>
      </c>
      <c r="N684" s="5">
        <v>500</v>
      </c>
      <c r="O684">
        <f>M684*N684</f>
        <v>1000</v>
      </c>
      <c r="P684" s="14">
        <f>O684*$S$3</f>
        <v>15</v>
      </c>
    </row>
    <row r="685" spans="1:16">
      <c r="A685" s="2">
        <v>684</v>
      </c>
      <c r="B685" s="4">
        <f>YEAR(G685)</f>
        <v>2023</v>
      </c>
      <c r="C685" s="4">
        <f>MONTH(G685)</f>
        <v>6</v>
      </c>
      <c r="D685" s="4">
        <f>DAY(G685)</f>
        <v>30</v>
      </c>
      <c r="E685" s="4" t="str">
        <f>TEXT(G685, "mmmm")</f>
        <v>June</v>
      </c>
      <c r="F685" s="4" t="str">
        <f>TEXT(G685, "dddd")</f>
        <v>Friday</v>
      </c>
      <c r="G685" s="3">
        <v>45107</v>
      </c>
      <c r="H685" s="4" t="s">
        <v>711</v>
      </c>
      <c r="I685" s="4" t="s">
        <v>20</v>
      </c>
      <c r="J685" s="4">
        <v>28</v>
      </c>
      <c r="K685" s="4" t="str" cm="1">
        <f t="array" ref="K685">_xlfn.IFS(J685&lt;30, "Young Adult", J685&lt;50, "Adult", J685&gt;=50, "Senior")</f>
        <v>Young Adult</v>
      </c>
      <c r="L685" s="4" t="s">
        <v>21</v>
      </c>
      <c r="M685" s="4">
        <v>2</v>
      </c>
      <c r="N685" s="5">
        <v>500</v>
      </c>
      <c r="O685">
        <f>M685*N685</f>
        <v>1000</v>
      </c>
      <c r="P685" s="14">
        <f>O685*$S$3</f>
        <v>15</v>
      </c>
    </row>
    <row r="686" spans="1:16">
      <c r="A686" s="2">
        <v>685</v>
      </c>
      <c r="B686" s="4">
        <f>YEAR(G686)</f>
        <v>2023</v>
      </c>
      <c r="C686" s="4">
        <f>MONTH(G686)</f>
        <v>6</v>
      </c>
      <c r="D686" s="4">
        <f>DAY(G686)</f>
        <v>2</v>
      </c>
      <c r="E686" s="4" t="str">
        <f>TEXT(G686, "mmmm")</f>
        <v>June</v>
      </c>
      <c r="F686" s="4" t="str">
        <f>TEXT(G686, "dddd")</f>
        <v>Friday</v>
      </c>
      <c r="G686" s="3">
        <v>45079</v>
      </c>
      <c r="H686" s="4" t="s">
        <v>712</v>
      </c>
      <c r="I686" s="4" t="s">
        <v>16</v>
      </c>
      <c r="J686" s="4">
        <v>57</v>
      </c>
      <c r="K686" s="4" t="str" cm="1">
        <f t="array" ref="K686">_xlfn.IFS(J686&lt;30, "Young Adult", J686&lt;50, "Adult", J686&gt;=50, "Senior")</f>
        <v>Senior</v>
      </c>
      <c r="L686" s="4" t="s">
        <v>24</v>
      </c>
      <c r="M686" s="4">
        <v>2</v>
      </c>
      <c r="N686" s="5">
        <v>25</v>
      </c>
      <c r="O686">
        <f>M686*N686</f>
        <v>50</v>
      </c>
      <c r="P686" s="14">
        <f>O686*$S$3</f>
        <v>0.75</v>
      </c>
    </row>
    <row r="687" spans="1:16">
      <c r="A687" s="2">
        <v>686</v>
      </c>
      <c r="B687" s="4">
        <f>YEAR(G687)</f>
        <v>2023</v>
      </c>
      <c r="C687" s="4">
        <f>MONTH(G687)</f>
        <v>7</v>
      </c>
      <c r="D687" s="4">
        <f>DAY(G687)</f>
        <v>19</v>
      </c>
      <c r="E687" s="4" t="str">
        <f>TEXT(G687, "mmmm")</f>
        <v>July</v>
      </c>
      <c r="F687" s="4" t="str">
        <f>TEXT(G687, "dddd")</f>
        <v>Wednesday</v>
      </c>
      <c r="G687" s="3">
        <v>45126</v>
      </c>
      <c r="H687" s="4" t="s">
        <v>713</v>
      </c>
      <c r="I687" s="4" t="s">
        <v>20</v>
      </c>
      <c r="J687" s="4">
        <v>28</v>
      </c>
      <c r="K687" s="4" t="str" cm="1">
        <f t="array" ref="K687">_xlfn.IFS(J687&lt;30, "Young Adult", J687&lt;50, "Adult", J687&gt;=50, "Senior")</f>
        <v>Young Adult</v>
      </c>
      <c r="L687" s="4" t="s">
        <v>24</v>
      </c>
      <c r="M687" s="4">
        <v>4</v>
      </c>
      <c r="N687" s="5">
        <v>50</v>
      </c>
      <c r="O687">
        <f>M687*N687</f>
        <v>200</v>
      </c>
      <c r="P687" s="14">
        <f>O687*$S$3</f>
        <v>3</v>
      </c>
    </row>
    <row r="688" spans="1:16">
      <c r="A688" s="2">
        <v>687</v>
      </c>
      <c r="B688" s="4">
        <f>YEAR(G688)</f>
        <v>2023</v>
      </c>
      <c r="C688" s="4">
        <f>MONTH(G688)</f>
        <v>8</v>
      </c>
      <c r="D688" s="4">
        <f>DAY(G688)</f>
        <v>3</v>
      </c>
      <c r="E688" s="4" t="str">
        <f>TEXT(G688, "mmmm")</f>
        <v>August</v>
      </c>
      <c r="F688" s="4" t="str">
        <f>TEXT(G688, "dddd")</f>
        <v>Thursday</v>
      </c>
      <c r="G688" s="3">
        <v>45141</v>
      </c>
      <c r="H688" s="4" t="s">
        <v>714</v>
      </c>
      <c r="I688" s="4" t="s">
        <v>20</v>
      </c>
      <c r="J688" s="4">
        <v>53</v>
      </c>
      <c r="K688" s="4" t="str" cm="1">
        <f t="array" ref="K688">_xlfn.IFS(J688&lt;30, "Young Adult", J688&lt;50, "Adult", J688&gt;=50, "Senior")</f>
        <v>Senior</v>
      </c>
      <c r="L688" s="4" t="s">
        <v>24</v>
      </c>
      <c r="M688" s="4">
        <v>1</v>
      </c>
      <c r="N688" s="5">
        <v>300</v>
      </c>
      <c r="O688">
        <f>M688*N688</f>
        <v>300</v>
      </c>
      <c r="P688" s="14">
        <f>O688*$S$3</f>
        <v>4.5</v>
      </c>
    </row>
    <row r="689" spans="1:16">
      <c r="A689" s="2">
        <v>688</v>
      </c>
      <c r="B689" s="4">
        <f>YEAR(G689)</f>
        <v>2023</v>
      </c>
      <c r="C689" s="4">
        <f>MONTH(G689)</f>
        <v>10</v>
      </c>
      <c r="D689" s="4">
        <f>DAY(G689)</f>
        <v>3</v>
      </c>
      <c r="E689" s="4" t="str">
        <f>TEXT(G689, "mmmm")</f>
        <v>October</v>
      </c>
      <c r="F689" s="4" t="str">
        <f>TEXT(G689, "dddd")</f>
        <v>Tuesday</v>
      </c>
      <c r="G689" s="3">
        <v>45202</v>
      </c>
      <c r="H689" s="4" t="s">
        <v>715</v>
      </c>
      <c r="I689" s="4" t="s">
        <v>16</v>
      </c>
      <c r="J689" s="4">
        <v>56</v>
      </c>
      <c r="K689" s="4" t="str" cm="1">
        <f t="array" ref="K689">_xlfn.IFS(J689&lt;30, "Young Adult", J689&lt;50, "Adult", J689&gt;=50, "Senior")</f>
        <v>Senior</v>
      </c>
      <c r="L689" s="4" t="s">
        <v>21</v>
      </c>
      <c r="M689" s="4">
        <v>4</v>
      </c>
      <c r="N689" s="5">
        <v>25</v>
      </c>
      <c r="O689">
        <f>M689*N689</f>
        <v>100</v>
      </c>
      <c r="P689" s="14">
        <f>O689*$S$3</f>
        <v>1.5</v>
      </c>
    </row>
    <row r="690" spans="1:16">
      <c r="A690" s="2">
        <v>689</v>
      </c>
      <c r="B690" s="4">
        <f>YEAR(G690)</f>
        <v>2023</v>
      </c>
      <c r="C690" s="4">
        <f>MONTH(G690)</f>
        <v>10</v>
      </c>
      <c r="D690" s="4">
        <f>DAY(G690)</f>
        <v>7</v>
      </c>
      <c r="E690" s="4" t="str">
        <f>TEXT(G690, "mmmm")</f>
        <v>October</v>
      </c>
      <c r="F690" s="4" t="str">
        <f>TEXT(G690, "dddd")</f>
        <v>Saturday</v>
      </c>
      <c r="G690" s="3">
        <v>45206</v>
      </c>
      <c r="H690" s="4" t="s">
        <v>716</v>
      </c>
      <c r="I690" s="4" t="s">
        <v>16</v>
      </c>
      <c r="J690" s="4">
        <v>57</v>
      </c>
      <c r="K690" s="4" t="str" cm="1">
        <f t="array" ref="K690">_xlfn.IFS(J690&lt;30, "Young Adult", J690&lt;50, "Adult", J690&gt;=50, "Senior")</f>
        <v>Senior</v>
      </c>
      <c r="L690" s="4" t="s">
        <v>24</v>
      </c>
      <c r="M690" s="4">
        <v>2</v>
      </c>
      <c r="N690" s="5">
        <v>50</v>
      </c>
      <c r="O690">
        <f>M690*N690</f>
        <v>100</v>
      </c>
      <c r="P690" s="14">
        <f>O690*$S$3</f>
        <v>1.5</v>
      </c>
    </row>
    <row r="691" spans="1:16">
      <c r="A691" s="2">
        <v>690</v>
      </c>
      <c r="B691" s="4">
        <f>YEAR(G691)</f>
        <v>2023</v>
      </c>
      <c r="C691" s="4">
        <f>MONTH(G691)</f>
        <v>11</v>
      </c>
      <c r="D691" s="4">
        <f>DAY(G691)</f>
        <v>5</v>
      </c>
      <c r="E691" s="4" t="str">
        <f>TEXT(G691, "mmmm")</f>
        <v>November</v>
      </c>
      <c r="F691" s="4" t="str">
        <f>TEXT(G691, "dddd")</f>
        <v>Sunday</v>
      </c>
      <c r="G691" s="3">
        <v>45235</v>
      </c>
      <c r="H691" s="4" t="s">
        <v>717</v>
      </c>
      <c r="I691" s="4" t="s">
        <v>20</v>
      </c>
      <c r="J691" s="4">
        <v>52</v>
      </c>
      <c r="K691" s="4" t="str" cm="1">
        <f t="array" ref="K691">_xlfn.IFS(J691&lt;30, "Young Adult", J691&lt;50, "Adult", J691&gt;=50, "Senior")</f>
        <v>Senior</v>
      </c>
      <c r="L691" s="4" t="s">
        <v>21</v>
      </c>
      <c r="M691" s="4">
        <v>3</v>
      </c>
      <c r="N691" s="5">
        <v>300</v>
      </c>
      <c r="O691">
        <f>M691*N691</f>
        <v>900</v>
      </c>
      <c r="P691" s="14">
        <f>O691*$S$3</f>
        <v>13.5</v>
      </c>
    </row>
    <row r="692" spans="1:16">
      <c r="A692" s="2">
        <v>691</v>
      </c>
      <c r="B692" s="4">
        <f>YEAR(G692)</f>
        <v>2023</v>
      </c>
      <c r="C692" s="4">
        <f>MONTH(G692)</f>
        <v>4</v>
      </c>
      <c r="D692" s="4">
        <f>DAY(G692)</f>
        <v>23</v>
      </c>
      <c r="E692" s="4" t="str">
        <f>TEXT(G692, "mmmm")</f>
        <v>April</v>
      </c>
      <c r="F692" s="4" t="str">
        <f>TEXT(G692, "dddd")</f>
        <v>Sunday</v>
      </c>
      <c r="G692" s="3">
        <v>45039</v>
      </c>
      <c r="H692" s="4" t="s">
        <v>718</v>
      </c>
      <c r="I692" s="4" t="s">
        <v>20</v>
      </c>
      <c r="J692" s="4">
        <v>51</v>
      </c>
      <c r="K692" s="4" t="str" cm="1">
        <f t="array" ref="K692">_xlfn.IFS(J692&lt;30, "Young Adult", J692&lt;50, "Adult", J692&gt;=50, "Senior")</f>
        <v>Senior</v>
      </c>
      <c r="L692" s="4" t="s">
        <v>21</v>
      </c>
      <c r="M692" s="4">
        <v>3</v>
      </c>
      <c r="N692" s="5">
        <v>30</v>
      </c>
      <c r="O692">
        <f>M692*N692</f>
        <v>90</v>
      </c>
      <c r="P692" s="14">
        <f>O692*$S$3</f>
        <v>1.3499999999999999</v>
      </c>
    </row>
    <row r="693" spans="1:16">
      <c r="A693" s="2">
        <v>692</v>
      </c>
      <c r="B693" s="4">
        <f>YEAR(G693)</f>
        <v>2023</v>
      </c>
      <c r="C693" s="4">
        <f>MONTH(G693)</f>
        <v>9</v>
      </c>
      <c r="D693" s="4">
        <f>DAY(G693)</f>
        <v>7</v>
      </c>
      <c r="E693" s="4" t="str">
        <f>TEXT(G693, "mmmm")</f>
        <v>September</v>
      </c>
      <c r="F693" s="4" t="str">
        <f>TEXT(G693, "dddd")</f>
        <v>Thursday</v>
      </c>
      <c r="G693" s="3">
        <v>45176</v>
      </c>
      <c r="H693" s="4" t="s">
        <v>719</v>
      </c>
      <c r="I693" s="4" t="s">
        <v>20</v>
      </c>
      <c r="J693" s="4">
        <v>64</v>
      </c>
      <c r="K693" s="4" t="str" cm="1">
        <f t="array" ref="K693">_xlfn.IFS(J693&lt;30, "Young Adult", J693&lt;50, "Adult", J693&gt;=50, "Senior")</f>
        <v>Senior</v>
      </c>
      <c r="L693" s="4" t="s">
        <v>21</v>
      </c>
      <c r="M693" s="4">
        <v>2</v>
      </c>
      <c r="N693" s="5">
        <v>50</v>
      </c>
      <c r="O693">
        <f>M693*N693</f>
        <v>100</v>
      </c>
      <c r="P693" s="14">
        <f>O693*$S$3</f>
        <v>1.5</v>
      </c>
    </row>
    <row r="694" spans="1:16">
      <c r="A694" s="2">
        <v>693</v>
      </c>
      <c r="B694" s="4">
        <f>YEAR(G694)</f>
        <v>2023</v>
      </c>
      <c r="C694" s="4">
        <f>MONTH(G694)</f>
        <v>4</v>
      </c>
      <c r="D694" s="4">
        <f>DAY(G694)</f>
        <v>23</v>
      </c>
      <c r="E694" s="4" t="str">
        <f>TEXT(G694, "mmmm")</f>
        <v>April</v>
      </c>
      <c r="F694" s="4" t="str">
        <f>TEXT(G694, "dddd")</f>
        <v>Sunday</v>
      </c>
      <c r="G694" s="3">
        <v>45039</v>
      </c>
      <c r="H694" s="4" t="s">
        <v>720</v>
      </c>
      <c r="I694" s="4" t="s">
        <v>16</v>
      </c>
      <c r="J694" s="4">
        <v>41</v>
      </c>
      <c r="K694" s="4" t="str" cm="1">
        <f t="array" ref="K694">_xlfn.IFS(J694&lt;30, "Young Adult", J694&lt;50, "Adult", J694&gt;=50, "Senior")</f>
        <v>Adult</v>
      </c>
      <c r="L694" s="4" t="s">
        <v>17</v>
      </c>
      <c r="M694" s="4">
        <v>3</v>
      </c>
      <c r="N694" s="5">
        <v>500</v>
      </c>
      <c r="O694">
        <f>M694*N694</f>
        <v>1500</v>
      </c>
      <c r="P694" s="14">
        <f>O694*$S$3</f>
        <v>22.5</v>
      </c>
    </row>
    <row r="695" spans="1:16">
      <c r="A695" s="2">
        <v>694</v>
      </c>
      <c r="B695" s="4">
        <f>YEAR(G695)</f>
        <v>2023</v>
      </c>
      <c r="C695" s="4">
        <f>MONTH(G695)</f>
        <v>5</v>
      </c>
      <c r="D695" s="4">
        <f>DAY(G695)</f>
        <v>20</v>
      </c>
      <c r="E695" s="4" t="str">
        <f>TEXT(G695, "mmmm")</f>
        <v>May</v>
      </c>
      <c r="F695" s="4" t="str">
        <f>TEXT(G695, "dddd")</f>
        <v>Saturday</v>
      </c>
      <c r="G695" s="3">
        <v>45066</v>
      </c>
      <c r="H695" s="4" t="s">
        <v>721</v>
      </c>
      <c r="I695" s="4" t="s">
        <v>20</v>
      </c>
      <c r="J695" s="4">
        <v>39</v>
      </c>
      <c r="K695" s="4" t="str" cm="1">
        <f t="array" ref="K695">_xlfn.IFS(J695&lt;30, "Young Adult", J695&lt;50, "Adult", J695&gt;=50, "Senior")</f>
        <v>Adult</v>
      </c>
      <c r="L695" s="4" t="s">
        <v>24</v>
      </c>
      <c r="M695" s="4">
        <v>2</v>
      </c>
      <c r="N695" s="5">
        <v>25</v>
      </c>
      <c r="O695">
        <f>M695*N695</f>
        <v>50</v>
      </c>
      <c r="P695" s="14">
        <f>O695*$S$3</f>
        <v>0.75</v>
      </c>
    </row>
    <row r="696" spans="1:16">
      <c r="A696" s="2">
        <v>695</v>
      </c>
      <c r="B696" s="4">
        <f>YEAR(G696)</f>
        <v>2023</v>
      </c>
      <c r="C696" s="4">
        <f>MONTH(G696)</f>
        <v>8</v>
      </c>
      <c r="D696" s="4">
        <f>DAY(G696)</f>
        <v>12</v>
      </c>
      <c r="E696" s="4" t="str">
        <f>TEXT(G696, "mmmm")</f>
        <v>August</v>
      </c>
      <c r="F696" s="4" t="str">
        <f>TEXT(G696, "dddd")</f>
        <v>Saturday</v>
      </c>
      <c r="G696" s="3">
        <v>45150</v>
      </c>
      <c r="H696" s="4" t="s">
        <v>722</v>
      </c>
      <c r="I696" s="4" t="s">
        <v>20</v>
      </c>
      <c r="J696" s="4">
        <v>22</v>
      </c>
      <c r="K696" s="4" t="str" cm="1">
        <f t="array" ref="K696">_xlfn.IFS(J696&lt;30, "Young Adult", J696&lt;50, "Adult", J696&gt;=50, "Senior")</f>
        <v>Young Adult</v>
      </c>
      <c r="L696" s="4" t="s">
        <v>24</v>
      </c>
      <c r="M696" s="4">
        <v>3</v>
      </c>
      <c r="N696" s="5">
        <v>50</v>
      </c>
      <c r="O696">
        <f>M696*N696</f>
        <v>150</v>
      </c>
      <c r="P696" s="14">
        <f>O696*$S$3</f>
        <v>2.25</v>
      </c>
    </row>
    <row r="697" spans="1:16">
      <c r="A697" s="2">
        <v>696</v>
      </c>
      <c r="B697" s="4">
        <f>YEAR(G697)</f>
        <v>2023</v>
      </c>
      <c r="C697" s="4">
        <f>MONTH(G697)</f>
        <v>9</v>
      </c>
      <c r="D697" s="4">
        <f>DAY(G697)</f>
        <v>6</v>
      </c>
      <c r="E697" s="4" t="str">
        <f>TEXT(G697, "mmmm")</f>
        <v>September</v>
      </c>
      <c r="F697" s="4" t="str">
        <f>TEXT(G697, "dddd")</f>
        <v>Wednesday</v>
      </c>
      <c r="G697" s="3">
        <v>45175</v>
      </c>
      <c r="H697" s="4" t="s">
        <v>723</v>
      </c>
      <c r="I697" s="4" t="s">
        <v>20</v>
      </c>
      <c r="J697" s="4">
        <v>50</v>
      </c>
      <c r="K697" s="4" t="str" cm="1">
        <f t="array" ref="K697">_xlfn.IFS(J697&lt;30, "Young Adult", J697&lt;50, "Adult", J697&gt;=50, "Senior")</f>
        <v>Senior</v>
      </c>
      <c r="L697" s="4" t="s">
        <v>21</v>
      </c>
      <c r="M697" s="4">
        <v>4</v>
      </c>
      <c r="N697" s="5">
        <v>50</v>
      </c>
      <c r="O697">
        <f>M697*N697</f>
        <v>200</v>
      </c>
      <c r="P697" s="14">
        <f>O697*$S$3</f>
        <v>3</v>
      </c>
    </row>
    <row r="698" spans="1:16">
      <c r="A698" s="2">
        <v>697</v>
      </c>
      <c r="B698" s="4">
        <f>YEAR(G698)</f>
        <v>2023</v>
      </c>
      <c r="C698" s="4">
        <f>MONTH(G698)</f>
        <v>1</v>
      </c>
      <c r="D698" s="4">
        <f>DAY(G698)</f>
        <v>15</v>
      </c>
      <c r="E698" s="4" t="str">
        <f>TEXT(G698, "mmmm")</f>
        <v>January</v>
      </c>
      <c r="F698" s="4" t="str">
        <f>TEXT(G698, "dddd")</f>
        <v>Sunday</v>
      </c>
      <c r="G698" s="3">
        <v>44941</v>
      </c>
      <c r="H698" s="4" t="s">
        <v>724</v>
      </c>
      <c r="I698" s="4" t="s">
        <v>16</v>
      </c>
      <c r="J698" s="4">
        <v>53</v>
      </c>
      <c r="K698" s="4" t="str" cm="1">
        <f t="array" ref="K698">_xlfn.IFS(J698&lt;30, "Young Adult", J698&lt;50, "Adult", J698&gt;=50, "Senior")</f>
        <v>Senior</v>
      </c>
      <c r="L698" s="4" t="s">
        <v>21</v>
      </c>
      <c r="M698" s="4">
        <v>1</v>
      </c>
      <c r="N698" s="5">
        <v>500</v>
      </c>
      <c r="O698">
        <f>M698*N698</f>
        <v>500</v>
      </c>
      <c r="P698" s="14">
        <f>O698*$S$3</f>
        <v>7.5</v>
      </c>
    </row>
    <row r="699" spans="1:16">
      <c r="A699" s="2">
        <v>698</v>
      </c>
      <c r="B699" s="4">
        <f>YEAR(G699)</f>
        <v>2023</v>
      </c>
      <c r="C699" s="4">
        <f>MONTH(G699)</f>
        <v>7</v>
      </c>
      <c r="D699" s="4">
        <f>DAY(G699)</f>
        <v>19</v>
      </c>
      <c r="E699" s="4" t="str">
        <f>TEXT(G699, "mmmm")</f>
        <v>July</v>
      </c>
      <c r="F699" s="4" t="str">
        <f>TEXT(G699, "dddd")</f>
        <v>Wednesday</v>
      </c>
      <c r="G699" s="3">
        <v>45126</v>
      </c>
      <c r="H699" s="4" t="s">
        <v>725</v>
      </c>
      <c r="I699" s="4" t="s">
        <v>20</v>
      </c>
      <c r="J699" s="4">
        <v>64</v>
      </c>
      <c r="K699" s="4" t="str" cm="1">
        <f t="array" ref="K699">_xlfn.IFS(J699&lt;30, "Young Adult", J699&lt;50, "Adult", J699&gt;=50, "Senior")</f>
        <v>Senior</v>
      </c>
      <c r="L699" s="4" t="s">
        <v>24</v>
      </c>
      <c r="M699" s="4">
        <v>1</v>
      </c>
      <c r="N699" s="5">
        <v>300</v>
      </c>
      <c r="O699">
        <f>M699*N699</f>
        <v>300</v>
      </c>
      <c r="P699" s="14">
        <f>O699*$S$3</f>
        <v>4.5</v>
      </c>
    </row>
    <row r="700" spans="1:16">
      <c r="A700" s="2">
        <v>699</v>
      </c>
      <c r="B700" s="4">
        <f>YEAR(G700)</f>
        <v>2023</v>
      </c>
      <c r="C700" s="4">
        <f>MONTH(G700)</f>
        <v>6</v>
      </c>
      <c r="D700" s="4">
        <f>DAY(G700)</f>
        <v>22</v>
      </c>
      <c r="E700" s="4" t="str">
        <f>TEXT(G700, "mmmm")</f>
        <v>June</v>
      </c>
      <c r="F700" s="4" t="str">
        <f>TEXT(G700, "dddd")</f>
        <v>Thursday</v>
      </c>
      <c r="G700" s="3">
        <v>45099</v>
      </c>
      <c r="H700" s="4" t="s">
        <v>726</v>
      </c>
      <c r="I700" s="4" t="s">
        <v>20</v>
      </c>
      <c r="J700" s="4">
        <v>37</v>
      </c>
      <c r="K700" s="4" t="str" cm="1">
        <f t="array" ref="K700">_xlfn.IFS(J700&lt;30, "Young Adult", J700&lt;50, "Adult", J700&gt;=50, "Senior")</f>
        <v>Adult</v>
      </c>
      <c r="L700" s="4" t="s">
        <v>21</v>
      </c>
      <c r="M700" s="4">
        <v>4</v>
      </c>
      <c r="N700" s="5">
        <v>30</v>
      </c>
      <c r="O700">
        <f>M700*N700</f>
        <v>120</v>
      </c>
      <c r="P700" s="14">
        <f>O700*$S$3</f>
        <v>1.7999999999999998</v>
      </c>
    </row>
    <row r="701" spans="1:16">
      <c r="A701" s="2">
        <v>700</v>
      </c>
      <c r="B701" s="4">
        <f>YEAR(G701)</f>
        <v>2023</v>
      </c>
      <c r="C701" s="4">
        <f>MONTH(G701)</f>
        <v>12</v>
      </c>
      <c r="D701" s="4">
        <f>DAY(G701)</f>
        <v>9</v>
      </c>
      <c r="E701" s="4" t="str">
        <f>TEXT(G701, "mmmm")</f>
        <v>December</v>
      </c>
      <c r="F701" s="4" t="str">
        <f>TEXT(G701, "dddd")</f>
        <v>Saturday</v>
      </c>
      <c r="G701" s="3">
        <v>45269</v>
      </c>
      <c r="H701" s="4" t="s">
        <v>727</v>
      </c>
      <c r="I701" s="4" t="s">
        <v>16</v>
      </c>
      <c r="J701" s="4">
        <v>36</v>
      </c>
      <c r="K701" s="4" t="str" cm="1">
        <f t="array" ref="K701">_xlfn.IFS(J701&lt;30, "Young Adult", J701&lt;50, "Adult", J701&gt;=50, "Senior")</f>
        <v>Adult</v>
      </c>
      <c r="L701" s="4" t="s">
        <v>24</v>
      </c>
      <c r="M701" s="4">
        <v>4</v>
      </c>
      <c r="N701" s="5">
        <v>500</v>
      </c>
      <c r="O701">
        <f>M701*N701</f>
        <v>2000</v>
      </c>
      <c r="P701" s="14">
        <f>O701*$S$3</f>
        <v>30</v>
      </c>
    </row>
    <row r="702" spans="1:16">
      <c r="A702" s="2">
        <v>701</v>
      </c>
      <c r="B702" s="4">
        <f>YEAR(G702)</f>
        <v>2023</v>
      </c>
      <c r="C702" s="4">
        <f>MONTH(G702)</f>
        <v>12</v>
      </c>
      <c r="D702" s="4">
        <f>DAY(G702)</f>
        <v>14</v>
      </c>
      <c r="E702" s="4" t="str">
        <f>TEXT(G702, "mmmm")</f>
        <v>December</v>
      </c>
      <c r="F702" s="4" t="str">
        <f>TEXT(G702, "dddd")</f>
        <v>Thursday</v>
      </c>
      <c r="G702" s="3">
        <v>45274</v>
      </c>
      <c r="H702" s="4" t="s">
        <v>728</v>
      </c>
      <c r="I702" s="4" t="s">
        <v>20</v>
      </c>
      <c r="J702" s="4">
        <v>52</v>
      </c>
      <c r="K702" s="4" t="str" cm="1">
        <f t="array" ref="K702">_xlfn.IFS(J702&lt;30, "Young Adult", J702&lt;50, "Adult", J702&gt;=50, "Senior")</f>
        <v>Senior</v>
      </c>
      <c r="L702" s="4" t="s">
        <v>17</v>
      </c>
      <c r="M702" s="4">
        <v>2</v>
      </c>
      <c r="N702" s="5">
        <v>30</v>
      </c>
      <c r="O702">
        <f>M702*N702</f>
        <v>60</v>
      </c>
      <c r="P702" s="14">
        <f>O702*$S$3</f>
        <v>0.89999999999999991</v>
      </c>
    </row>
    <row r="703" spans="1:16">
      <c r="A703" s="2">
        <v>702</v>
      </c>
      <c r="B703" s="4">
        <f>YEAR(G703)</f>
        <v>2023</v>
      </c>
      <c r="C703" s="4">
        <f>MONTH(G703)</f>
        <v>7</v>
      </c>
      <c r="D703" s="4">
        <f>DAY(G703)</f>
        <v>27</v>
      </c>
      <c r="E703" s="4" t="str">
        <f>TEXT(G703, "mmmm")</f>
        <v>July</v>
      </c>
      <c r="F703" s="4" t="str">
        <f>TEXT(G703, "dddd")</f>
        <v>Thursday</v>
      </c>
      <c r="G703" s="3">
        <v>45134</v>
      </c>
      <c r="H703" s="4" t="s">
        <v>729</v>
      </c>
      <c r="I703" s="4" t="s">
        <v>20</v>
      </c>
      <c r="J703" s="4">
        <v>60</v>
      </c>
      <c r="K703" s="4" t="str" cm="1">
        <f t="array" ref="K703">_xlfn.IFS(J703&lt;30, "Young Adult", J703&lt;50, "Adult", J703&gt;=50, "Senior")</f>
        <v>Senior</v>
      </c>
      <c r="L703" s="4" t="s">
        <v>21</v>
      </c>
      <c r="M703" s="4">
        <v>2</v>
      </c>
      <c r="N703" s="5">
        <v>300</v>
      </c>
      <c r="O703">
        <f>M703*N703</f>
        <v>600</v>
      </c>
      <c r="P703" s="14">
        <f>O703*$S$3</f>
        <v>9</v>
      </c>
    </row>
    <row r="704" spans="1:16">
      <c r="A704" s="2">
        <v>703</v>
      </c>
      <c r="B704" s="4">
        <f>YEAR(G704)</f>
        <v>2023</v>
      </c>
      <c r="C704" s="4">
        <f>MONTH(G704)</f>
        <v>3</v>
      </c>
      <c r="D704" s="4">
        <f>DAY(G704)</f>
        <v>26</v>
      </c>
      <c r="E704" s="4" t="str">
        <f>TEXT(G704, "mmmm")</f>
        <v>March</v>
      </c>
      <c r="F704" s="4" t="str">
        <f>TEXT(G704, "dddd")</f>
        <v>Sunday</v>
      </c>
      <c r="G704" s="3">
        <v>45011</v>
      </c>
      <c r="H704" s="4" t="s">
        <v>730</v>
      </c>
      <c r="I704" s="4" t="s">
        <v>16</v>
      </c>
      <c r="J704" s="4">
        <v>34</v>
      </c>
      <c r="K704" s="4" t="str" cm="1">
        <f t="array" ref="K704">_xlfn.IFS(J704&lt;30, "Young Adult", J704&lt;50, "Adult", J704&gt;=50, "Senior")</f>
        <v>Adult</v>
      </c>
      <c r="L704" s="4" t="s">
        <v>24</v>
      </c>
      <c r="M704" s="4">
        <v>2</v>
      </c>
      <c r="N704" s="5">
        <v>50</v>
      </c>
      <c r="O704">
        <f>M704*N704</f>
        <v>100</v>
      </c>
      <c r="P704" s="14">
        <f>O704*$S$3</f>
        <v>1.5</v>
      </c>
    </row>
    <row r="705" spans="1:16">
      <c r="A705" s="2">
        <v>704</v>
      </c>
      <c r="B705" s="4">
        <f>YEAR(G705)</f>
        <v>2023</v>
      </c>
      <c r="C705" s="4">
        <f>MONTH(G705)</f>
        <v>8</v>
      </c>
      <c r="D705" s="4">
        <f>DAY(G705)</f>
        <v>28</v>
      </c>
      <c r="E705" s="4" t="str">
        <f>TEXT(G705, "mmmm")</f>
        <v>August</v>
      </c>
      <c r="F705" s="4" t="str">
        <f>TEXT(G705, "dddd")</f>
        <v>Monday</v>
      </c>
      <c r="G705" s="3">
        <v>45166</v>
      </c>
      <c r="H705" s="4" t="s">
        <v>731</v>
      </c>
      <c r="I705" s="4" t="s">
        <v>20</v>
      </c>
      <c r="J705" s="4">
        <v>62</v>
      </c>
      <c r="K705" s="4" t="str" cm="1">
        <f t="array" ref="K705">_xlfn.IFS(J705&lt;30, "Young Adult", J705&lt;50, "Adult", J705&gt;=50, "Senior")</f>
        <v>Senior</v>
      </c>
      <c r="L705" s="4" t="s">
        <v>21</v>
      </c>
      <c r="M705" s="4">
        <v>3</v>
      </c>
      <c r="N705" s="5">
        <v>30</v>
      </c>
      <c r="O705">
        <f>M705*N705</f>
        <v>90</v>
      </c>
      <c r="P705" s="14">
        <f>O705*$S$3</f>
        <v>1.3499999999999999</v>
      </c>
    </row>
    <row r="706" spans="1:16">
      <c r="A706" s="2">
        <v>705</v>
      </c>
      <c r="B706" s="4">
        <f>YEAR(G706)</f>
        <v>2023</v>
      </c>
      <c r="C706" s="4">
        <f>MONTH(G706)</f>
        <v>3</v>
      </c>
      <c r="D706" s="4">
        <f>DAY(G706)</f>
        <v>7</v>
      </c>
      <c r="E706" s="4" t="str">
        <f>TEXT(G706, "mmmm")</f>
        <v>March</v>
      </c>
      <c r="F706" s="4" t="str">
        <f>TEXT(G706, "dddd")</f>
        <v>Tuesday</v>
      </c>
      <c r="G706" s="3">
        <v>44992</v>
      </c>
      <c r="H706" s="4" t="s">
        <v>732</v>
      </c>
      <c r="I706" s="4" t="s">
        <v>16</v>
      </c>
      <c r="J706" s="4">
        <v>60</v>
      </c>
      <c r="K706" s="4" t="str" cm="1">
        <f t="array" ref="K706">_xlfn.IFS(J706&lt;30, "Young Adult", J706&lt;50, "Adult", J706&gt;=50, "Senior")</f>
        <v>Senior</v>
      </c>
      <c r="L706" s="4" t="s">
        <v>24</v>
      </c>
      <c r="M706" s="4">
        <v>2</v>
      </c>
      <c r="N706" s="5">
        <v>25</v>
      </c>
      <c r="O706">
        <f>M706*N706</f>
        <v>50</v>
      </c>
      <c r="P706" s="14">
        <f>O706*$S$3</f>
        <v>0.75</v>
      </c>
    </row>
    <row r="707" spans="1:16">
      <c r="A707" s="2">
        <v>706</v>
      </c>
      <c r="B707" s="4">
        <f>YEAR(G707)</f>
        <v>2023</v>
      </c>
      <c r="C707" s="4">
        <f>MONTH(G707)</f>
        <v>11</v>
      </c>
      <c r="D707" s="4">
        <f>DAY(G707)</f>
        <v>15</v>
      </c>
      <c r="E707" s="4" t="str">
        <f>TEXT(G707, "mmmm")</f>
        <v>November</v>
      </c>
      <c r="F707" s="4" t="str">
        <f>TEXT(G707, "dddd")</f>
        <v>Wednesday</v>
      </c>
      <c r="G707" s="3">
        <v>45245</v>
      </c>
      <c r="H707" s="4" t="s">
        <v>733</v>
      </c>
      <c r="I707" s="4" t="s">
        <v>16</v>
      </c>
      <c r="J707" s="4">
        <v>51</v>
      </c>
      <c r="K707" s="4" t="str" cm="1">
        <f t="array" ref="K707">_xlfn.IFS(J707&lt;30, "Young Adult", J707&lt;50, "Adult", J707&gt;=50, "Senior")</f>
        <v>Senior</v>
      </c>
      <c r="L707" s="4" t="s">
        <v>24</v>
      </c>
      <c r="M707" s="4">
        <v>4</v>
      </c>
      <c r="N707" s="5">
        <v>25</v>
      </c>
      <c r="O707">
        <f>M707*N707</f>
        <v>100</v>
      </c>
      <c r="P707" s="14">
        <f>O707*$S$3</f>
        <v>1.5</v>
      </c>
    </row>
    <row r="708" spans="1:16">
      <c r="A708" s="2">
        <v>707</v>
      </c>
      <c r="B708" s="4">
        <f>YEAR(G708)</f>
        <v>2023</v>
      </c>
      <c r="C708" s="4">
        <f>MONTH(G708)</f>
        <v>10</v>
      </c>
      <c r="D708" s="4">
        <f>DAY(G708)</f>
        <v>1</v>
      </c>
      <c r="E708" s="4" t="str">
        <f>TEXT(G708, "mmmm")</f>
        <v>October</v>
      </c>
      <c r="F708" s="4" t="str">
        <f>TEXT(G708, "dddd")</f>
        <v>Sunday</v>
      </c>
      <c r="G708" s="3">
        <v>45200</v>
      </c>
      <c r="H708" s="4" t="s">
        <v>734</v>
      </c>
      <c r="I708" s="4" t="s">
        <v>20</v>
      </c>
      <c r="J708" s="4">
        <v>26</v>
      </c>
      <c r="K708" s="4" t="str" cm="1">
        <f t="array" ref="K708">_xlfn.IFS(J708&lt;30, "Young Adult", J708&lt;50, "Adult", J708&gt;=50, "Senior")</f>
        <v>Young Adult</v>
      </c>
      <c r="L708" s="4" t="s">
        <v>21</v>
      </c>
      <c r="M708" s="4">
        <v>1</v>
      </c>
      <c r="N708" s="5">
        <v>500</v>
      </c>
      <c r="O708">
        <f>M708*N708</f>
        <v>500</v>
      </c>
      <c r="P708" s="14">
        <f>O708*$S$3</f>
        <v>7.5</v>
      </c>
    </row>
    <row r="709" spans="1:16">
      <c r="A709" s="2">
        <v>708</v>
      </c>
      <c r="B709" s="4">
        <f>YEAR(G709)</f>
        <v>2023</v>
      </c>
      <c r="C709" s="4">
        <f>MONTH(G709)</f>
        <v>1</v>
      </c>
      <c r="D709" s="4">
        <f>DAY(G709)</f>
        <v>14</v>
      </c>
      <c r="E709" s="4" t="str">
        <f>TEXT(G709, "mmmm")</f>
        <v>January</v>
      </c>
      <c r="F709" s="4" t="str">
        <f>TEXT(G709, "dddd")</f>
        <v>Saturday</v>
      </c>
      <c r="G709" s="3">
        <v>44940</v>
      </c>
      <c r="H709" s="4" t="s">
        <v>735</v>
      </c>
      <c r="I709" s="4" t="s">
        <v>20</v>
      </c>
      <c r="J709" s="4">
        <v>43</v>
      </c>
      <c r="K709" s="4" t="str" cm="1">
        <f t="array" ref="K709">_xlfn.IFS(J709&lt;30, "Young Adult", J709&lt;50, "Adult", J709&gt;=50, "Senior")</f>
        <v>Adult</v>
      </c>
      <c r="L709" s="4" t="s">
        <v>17</v>
      </c>
      <c r="M709" s="4">
        <v>3</v>
      </c>
      <c r="N709" s="5">
        <v>300</v>
      </c>
      <c r="O709">
        <f>M709*N709</f>
        <v>900</v>
      </c>
      <c r="P709" s="14">
        <f>O709*$S$3</f>
        <v>13.5</v>
      </c>
    </row>
    <row r="710" spans="1:16">
      <c r="A710" s="2">
        <v>709</v>
      </c>
      <c r="B710" s="4">
        <f>YEAR(G710)</f>
        <v>2023</v>
      </c>
      <c r="C710" s="4">
        <f>MONTH(G710)</f>
        <v>7</v>
      </c>
      <c r="D710" s="4">
        <f>DAY(G710)</f>
        <v>21</v>
      </c>
      <c r="E710" s="4" t="str">
        <f>TEXT(G710, "mmmm")</f>
        <v>July</v>
      </c>
      <c r="F710" s="4" t="str">
        <f>TEXT(G710, "dddd")</f>
        <v>Friday</v>
      </c>
      <c r="G710" s="3">
        <v>45128</v>
      </c>
      <c r="H710" s="4" t="s">
        <v>736</v>
      </c>
      <c r="I710" s="4" t="s">
        <v>20</v>
      </c>
      <c r="J710" s="4">
        <v>19</v>
      </c>
      <c r="K710" s="4" t="str" cm="1">
        <f t="array" ref="K710">_xlfn.IFS(J710&lt;30, "Young Adult", J710&lt;50, "Adult", J710&gt;=50, "Senior")</f>
        <v>Young Adult</v>
      </c>
      <c r="L710" s="4" t="s">
        <v>24</v>
      </c>
      <c r="M710" s="4">
        <v>2</v>
      </c>
      <c r="N710" s="5">
        <v>500</v>
      </c>
      <c r="O710">
        <f>M710*N710</f>
        <v>1000</v>
      </c>
      <c r="P710" s="14">
        <f>O710*$S$3</f>
        <v>15</v>
      </c>
    </row>
    <row r="711" spans="1:16">
      <c r="A711" s="2">
        <v>710</v>
      </c>
      <c r="B711" s="4">
        <f>YEAR(G711)</f>
        <v>2023</v>
      </c>
      <c r="C711" s="4">
        <f>MONTH(G711)</f>
        <v>10</v>
      </c>
      <c r="D711" s="4">
        <f>DAY(G711)</f>
        <v>31</v>
      </c>
      <c r="E711" s="4" t="str">
        <f>TEXT(G711, "mmmm")</f>
        <v>October</v>
      </c>
      <c r="F711" s="4" t="str">
        <f>TEXT(G711, "dddd")</f>
        <v>Tuesday</v>
      </c>
      <c r="G711" s="3">
        <v>45230</v>
      </c>
      <c r="H711" s="4" t="s">
        <v>737</v>
      </c>
      <c r="I711" s="4" t="s">
        <v>20</v>
      </c>
      <c r="J711" s="4">
        <v>26</v>
      </c>
      <c r="K711" s="4" t="str" cm="1">
        <f t="array" ref="K711">_xlfn.IFS(J711&lt;30, "Young Adult", J711&lt;50, "Adult", J711&gt;=50, "Senior")</f>
        <v>Young Adult</v>
      </c>
      <c r="L711" s="4" t="s">
        <v>24</v>
      </c>
      <c r="M711" s="4">
        <v>3</v>
      </c>
      <c r="N711" s="5">
        <v>500</v>
      </c>
      <c r="O711">
        <f>M711*N711</f>
        <v>1500</v>
      </c>
      <c r="P711" s="14">
        <f>O711*$S$3</f>
        <v>22.5</v>
      </c>
    </row>
    <row r="712" spans="1:16">
      <c r="A712" s="2">
        <v>711</v>
      </c>
      <c r="B712" s="4">
        <f>YEAR(G712)</f>
        <v>2023</v>
      </c>
      <c r="C712" s="4">
        <f>MONTH(G712)</f>
        <v>10</v>
      </c>
      <c r="D712" s="4">
        <f>DAY(G712)</f>
        <v>16</v>
      </c>
      <c r="E712" s="4" t="str">
        <f>TEXT(G712, "mmmm")</f>
        <v>October</v>
      </c>
      <c r="F712" s="4" t="str">
        <f>TEXT(G712, "dddd")</f>
        <v>Monday</v>
      </c>
      <c r="G712" s="3">
        <v>45215</v>
      </c>
      <c r="H712" s="4" t="s">
        <v>738</v>
      </c>
      <c r="I712" s="4" t="s">
        <v>16</v>
      </c>
      <c r="J712" s="4">
        <v>26</v>
      </c>
      <c r="K712" s="4" t="str" cm="1">
        <f t="array" ref="K712">_xlfn.IFS(J712&lt;30, "Young Adult", J712&lt;50, "Adult", J712&gt;=50, "Senior")</f>
        <v>Young Adult</v>
      </c>
      <c r="L712" s="4" t="s">
        <v>24</v>
      </c>
      <c r="M712" s="4">
        <v>3</v>
      </c>
      <c r="N712" s="5">
        <v>500</v>
      </c>
      <c r="O712">
        <f>M712*N712</f>
        <v>1500</v>
      </c>
      <c r="P712" s="14">
        <f>O712*$S$3</f>
        <v>22.5</v>
      </c>
    </row>
    <row r="713" spans="1:16">
      <c r="A713" s="2">
        <v>712</v>
      </c>
      <c r="B713" s="4">
        <f>YEAR(G713)</f>
        <v>2023</v>
      </c>
      <c r="C713" s="4">
        <f>MONTH(G713)</f>
        <v>12</v>
      </c>
      <c r="D713" s="4">
        <f>DAY(G713)</f>
        <v>6</v>
      </c>
      <c r="E713" s="4" t="str">
        <f>TEXT(G713, "mmmm")</f>
        <v>December</v>
      </c>
      <c r="F713" s="4" t="str">
        <f>TEXT(G713, "dddd")</f>
        <v>Wednesday</v>
      </c>
      <c r="G713" s="3">
        <v>45266</v>
      </c>
      <c r="H713" s="4" t="s">
        <v>739</v>
      </c>
      <c r="I713" s="4" t="s">
        <v>20</v>
      </c>
      <c r="J713" s="4">
        <v>57</v>
      </c>
      <c r="K713" s="4" t="str" cm="1">
        <f t="array" ref="K713">_xlfn.IFS(J713&lt;30, "Young Adult", J713&lt;50, "Adult", J713&gt;=50, "Senior")</f>
        <v>Senior</v>
      </c>
      <c r="L713" s="4" t="s">
        <v>17</v>
      </c>
      <c r="M713" s="4">
        <v>2</v>
      </c>
      <c r="N713" s="5">
        <v>25</v>
      </c>
      <c r="O713">
        <f>M713*N713</f>
        <v>50</v>
      </c>
      <c r="P713" s="14">
        <f>O713*$S$3</f>
        <v>0.75</v>
      </c>
    </row>
    <row r="714" spans="1:16">
      <c r="A714" s="2">
        <v>713</v>
      </c>
      <c r="B714" s="4">
        <f>YEAR(G714)</f>
        <v>2023</v>
      </c>
      <c r="C714" s="4">
        <f>MONTH(G714)</f>
        <v>1</v>
      </c>
      <c r="D714" s="4">
        <f>DAY(G714)</f>
        <v>14</v>
      </c>
      <c r="E714" s="4" t="str">
        <f>TEXT(G714, "mmmm")</f>
        <v>January</v>
      </c>
      <c r="F714" s="4" t="str">
        <f>TEXT(G714, "dddd")</f>
        <v>Saturday</v>
      </c>
      <c r="G714" s="3">
        <v>44940</v>
      </c>
      <c r="H714" s="4" t="s">
        <v>740</v>
      </c>
      <c r="I714" s="4" t="s">
        <v>16</v>
      </c>
      <c r="J714" s="4">
        <v>34</v>
      </c>
      <c r="K714" s="4" t="str" cm="1">
        <f t="array" ref="K714">_xlfn.IFS(J714&lt;30, "Young Adult", J714&lt;50, "Adult", J714&gt;=50, "Senior")</f>
        <v>Adult</v>
      </c>
      <c r="L714" s="4" t="s">
        <v>17</v>
      </c>
      <c r="M714" s="4">
        <v>3</v>
      </c>
      <c r="N714" s="5">
        <v>25</v>
      </c>
      <c r="O714">
        <f>M714*N714</f>
        <v>75</v>
      </c>
      <c r="P714" s="14">
        <f>O714*$S$3</f>
        <v>1.125</v>
      </c>
    </row>
    <row r="715" spans="1:16">
      <c r="A715" s="2">
        <v>714</v>
      </c>
      <c r="B715" s="4">
        <f>YEAR(G715)</f>
        <v>2023</v>
      </c>
      <c r="C715" s="4">
        <f>MONTH(G715)</f>
        <v>2</v>
      </c>
      <c r="D715" s="4">
        <f>DAY(G715)</f>
        <v>12</v>
      </c>
      <c r="E715" s="4" t="str">
        <f>TEXT(G715, "mmmm")</f>
        <v>February</v>
      </c>
      <c r="F715" s="4" t="str">
        <f>TEXT(G715, "dddd")</f>
        <v>Sunday</v>
      </c>
      <c r="G715" s="3">
        <v>44969</v>
      </c>
      <c r="H715" s="4" t="s">
        <v>741</v>
      </c>
      <c r="I715" s="4" t="s">
        <v>20</v>
      </c>
      <c r="J715" s="4">
        <v>18</v>
      </c>
      <c r="K715" s="4" t="str" cm="1">
        <f t="array" ref="K715">_xlfn.IFS(J715&lt;30, "Young Adult", J715&lt;50, "Adult", J715&gt;=50, "Senior")</f>
        <v>Young Adult</v>
      </c>
      <c r="L715" s="4" t="s">
        <v>21</v>
      </c>
      <c r="M715" s="4">
        <v>1</v>
      </c>
      <c r="N715" s="5">
        <v>500</v>
      </c>
      <c r="O715">
        <f>M715*N715</f>
        <v>500</v>
      </c>
      <c r="P715" s="14">
        <f>O715*$S$3</f>
        <v>7.5</v>
      </c>
    </row>
    <row r="716" spans="1:16">
      <c r="A716" s="2">
        <v>715</v>
      </c>
      <c r="B716" s="4">
        <f>YEAR(G716)</f>
        <v>2023</v>
      </c>
      <c r="C716" s="4">
        <f>MONTH(G716)</f>
        <v>11</v>
      </c>
      <c r="D716" s="4">
        <f>DAY(G716)</f>
        <v>26</v>
      </c>
      <c r="E716" s="4" t="str">
        <f>TEXT(G716, "mmmm")</f>
        <v>November</v>
      </c>
      <c r="F716" s="4" t="str">
        <f>TEXT(G716, "dddd")</f>
        <v>Sunday</v>
      </c>
      <c r="G716" s="3">
        <v>45256</v>
      </c>
      <c r="H716" s="4" t="s">
        <v>742</v>
      </c>
      <c r="I716" s="4" t="s">
        <v>20</v>
      </c>
      <c r="J716" s="4">
        <v>42</v>
      </c>
      <c r="K716" s="4" t="str" cm="1">
        <f t="array" ref="K716">_xlfn.IFS(J716&lt;30, "Young Adult", J716&lt;50, "Adult", J716&gt;=50, "Senior")</f>
        <v>Adult</v>
      </c>
      <c r="L716" s="4" t="s">
        <v>17</v>
      </c>
      <c r="M716" s="4">
        <v>4</v>
      </c>
      <c r="N716" s="5">
        <v>25</v>
      </c>
      <c r="O716">
        <f>M716*N716</f>
        <v>100</v>
      </c>
      <c r="P716" s="14">
        <f>O716*$S$3</f>
        <v>1.5</v>
      </c>
    </row>
    <row r="717" spans="1:16">
      <c r="A717" s="2">
        <v>716</v>
      </c>
      <c r="B717" s="4">
        <f>YEAR(G717)</f>
        <v>2023</v>
      </c>
      <c r="C717" s="4">
        <f>MONTH(G717)</f>
        <v>8</v>
      </c>
      <c r="D717" s="4">
        <f>DAY(G717)</f>
        <v>8</v>
      </c>
      <c r="E717" s="4" t="str">
        <f>TEXT(G717, "mmmm")</f>
        <v>August</v>
      </c>
      <c r="F717" s="4" t="str">
        <f>TEXT(G717, "dddd")</f>
        <v>Tuesday</v>
      </c>
      <c r="G717" s="3">
        <v>45146</v>
      </c>
      <c r="H717" s="4" t="s">
        <v>743</v>
      </c>
      <c r="I717" s="4" t="s">
        <v>20</v>
      </c>
      <c r="J717" s="4">
        <v>60</v>
      </c>
      <c r="K717" s="4" t="str" cm="1">
        <f t="array" ref="K717">_xlfn.IFS(J717&lt;30, "Young Adult", J717&lt;50, "Adult", J717&gt;=50, "Senior")</f>
        <v>Senior</v>
      </c>
      <c r="L717" s="4" t="s">
        <v>21</v>
      </c>
      <c r="M717" s="4">
        <v>4</v>
      </c>
      <c r="N717" s="5">
        <v>300</v>
      </c>
      <c r="O717">
        <f>M717*N717</f>
        <v>1200</v>
      </c>
      <c r="P717" s="14">
        <f>O717*$S$3</f>
        <v>18</v>
      </c>
    </row>
    <row r="718" spans="1:16">
      <c r="A718" s="2">
        <v>717</v>
      </c>
      <c r="B718" s="4">
        <f>YEAR(G718)</f>
        <v>2023</v>
      </c>
      <c r="C718" s="4">
        <f>MONTH(G718)</f>
        <v>3</v>
      </c>
      <c r="D718" s="4">
        <f>DAY(G718)</f>
        <v>11</v>
      </c>
      <c r="E718" s="4" t="str">
        <f>TEXT(G718, "mmmm")</f>
        <v>March</v>
      </c>
      <c r="F718" s="4" t="str">
        <f>TEXT(G718, "dddd")</f>
        <v>Saturday</v>
      </c>
      <c r="G718" s="3">
        <v>44996</v>
      </c>
      <c r="H718" s="4" t="s">
        <v>744</v>
      </c>
      <c r="I718" s="4" t="s">
        <v>16</v>
      </c>
      <c r="J718" s="4">
        <v>57</v>
      </c>
      <c r="K718" s="4" t="str" cm="1">
        <f t="array" ref="K718">_xlfn.IFS(J718&lt;30, "Young Adult", J718&lt;50, "Adult", J718&gt;=50, "Senior")</f>
        <v>Senior</v>
      </c>
      <c r="L718" s="4" t="s">
        <v>21</v>
      </c>
      <c r="M718" s="4">
        <v>1</v>
      </c>
      <c r="N718" s="5">
        <v>500</v>
      </c>
      <c r="O718">
        <f>M718*N718</f>
        <v>500</v>
      </c>
      <c r="P718" s="14">
        <f>O718*$S$3</f>
        <v>7.5</v>
      </c>
    </row>
    <row r="719" spans="1:16">
      <c r="A719" s="2">
        <v>718</v>
      </c>
      <c r="B719" s="4">
        <f>YEAR(G719)</f>
        <v>2023</v>
      </c>
      <c r="C719" s="4">
        <f>MONTH(G719)</f>
        <v>8</v>
      </c>
      <c r="D719" s="4">
        <f>DAY(G719)</f>
        <v>25</v>
      </c>
      <c r="E719" s="4" t="str">
        <f>TEXT(G719, "mmmm")</f>
        <v>August</v>
      </c>
      <c r="F719" s="4" t="str">
        <f>TEXT(G719, "dddd")</f>
        <v>Friday</v>
      </c>
      <c r="G719" s="3">
        <v>45163</v>
      </c>
      <c r="H719" s="4" t="s">
        <v>745</v>
      </c>
      <c r="I719" s="4" t="s">
        <v>20</v>
      </c>
      <c r="J719" s="4">
        <v>59</v>
      </c>
      <c r="K719" s="4" t="str" cm="1">
        <f t="array" ref="K719">_xlfn.IFS(J719&lt;30, "Young Adult", J719&lt;50, "Adult", J719&gt;=50, "Senior")</f>
        <v>Senior</v>
      </c>
      <c r="L719" s="4" t="s">
        <v>17</v>
      </c>
      <c r="M719" s="4">
        <v>3</v>
      </c>
      <c r="N719" s="5">
        <v>25</v>
      </c>
      <c r="O719">
        <f>M719*N719</f>
        <v>75</v>
      </c>
      <c r="P719" s="14">
        <f>O719*$S$3</f>
        <v>1.125</v>
      </c>
    </row>
    <row r="720" spans="1:16">
      <c r="A720" s="2">
        <v>719</v>
      </c>
      <c r="B720" s="4">
        <f>YEAR(G720)</f>
        <v>2023</v>
      </c>
      <c r="C720" s="4">
        <f>MONTH(G720)</f>
        <v>4</v>
      </c>
      <c r="D720" s="4">
        <f>DAY(G720)</f>
        <v>4</v>
      </c>
      <c r="E720" s="4" t="str">
        <f>TEXT(G720, "mmmm")</f>
        <v>April</v>
      </c>
      <c r="F720" s="4" t="str">
        <f>TEXT(G720, "dddd")</f>
        <v>Tuesday</v>
      </c>
      <c r="G720" s="3">
        <v>45020</v>
      </c>
      <c r="H720" s="4" t="s">
        <v>746</v>
      </c>
      <c r="I720" s="4" t="s">
        <v>20</v>
      </c>
      <c r="J720" s="4">
        <v>42</v>
      </c>
      <c r="K720" s="4" t="str" cm="1">
        <f t="array" ref="K720">_xlfn.IFS(J720&lt;30, "Young Adult", J720&lt;50, "Adult", J720&gt;=50, "Senior")</f>
        <v>Adult</v>
      </c>
      <c r="L720" s="4" t="s">
        <v>21</v>
      </c>
      <c r="M720" s="4">
        <v>2</v>
      </c>
      <c r="N720" s="5">
        <v>30</v>
      </c>
      <c r="O720">
        <f>M720*N720</f>
        <v>60</v>
      </c>
      <c r="P720" s="14">
        <f>O720*$S$3</f>
        <v>0.89999999999999991</v>
      </c>
    </row>
    <row r="721" spans="1:16">
      <c r="A721" s="2">
        <v>720</v>
      </c>
      <c r="B721" s="4">
        <f>YEAR(G721)</f>
        <v>2023</v>
      </c>
      <c r="C721" s="4">
        <f>MONTH(G721)</f>
        <v>1</v>
      </c>
      <c r="D721" s="4">
        <f>DAY(G721)</f>
        <v>26</v>
      </c>
      <c r="E721" s="4" t="str">
        <f>TEXT(G721, "mmmm")</f>
        <v>January</v>
      </c>
      <c r="F721" s="4" t="str">
        <f>TEXT(G721, "dddd")</f>
        <v>Thursday</v>
      </c>
      <c r="G721" s="3">
        <v>44952</v>
      </c>
      <c r="H721" s="4" t="s">
        <v>747</v>
      </c>
      <c r="I721" s="4" t="s">
        <v>20</v>
      </c>
      <c r="J721" s="4">
        <v>56</v>
      </c>
      <c r="K721" s="4" t="str" cm="1">
        <f t="array" ref="K721">_xlfn.IFS(J721&lt;30, "Young Adult", J721&lt;50, "Adult", J721&gt;=50, "Senior")</f>
        <v>Senior</v>
      </c>
      <c r="L721" s="4" t="s">
        <v>17</v>
      </c>
      <c r="M721" s="4">
        <v>3</v>
      </c>
      <c r="N721" s="5">
        <v>500</v>
      </c>
      <c r="O721">
        <f>M721*N721</f>
        <v>1500</v>
      </c>
      <c r="P721" s="14">
        <f>O721*$S$3</f>
        <v>22.5</v>
      </c>
    </row>
    <row r="722" spans="1:16">
      <c r="A722" s="2">
        <v>721</v>
      </c>
      <c r="B722" s="4">
        <f>YEAR(G722)</f>
        <v>2023</v>
      </c>
      <c r="C722" s="4">
        <f>MONTH(G722)</f>
        <v>5</v>
      </c>
      <c r="D722" s="4">
        <f>DAY(G722)</f>
        <v>14</v>
      </c>
      <c r="E722" s="4" t="str">
        <f>TEXT(G722, "mmmm")</f>
        <v>May</v>
      </c>
      <c r="F722" s="4" t="str">
        <f>TEXT(G722, "dddd")</f>
        <v>Sunday</v>
      </c>
      <c r="G722" s="3">
        <v>45060</v>
      </c>
      <c r="H722" s="4" t="s">
        <v>748</v>
      </c>
      <c r="I722" s="4" t="s">
        <v>20</v>
      </c>
      <c r="J722" s="4">
        <v>52</v>
      </c>
      <c r="K722" s="4" t="str" cm="1">
        <f t="array" ref="K722">_xlfn.IFS(J722&lt;30, "Young Adult", J722&lt;50, "Adult", J722&gt;=50, "Senior")</f>
        <v>Senior</v>
      </c>
      <c r="L722" s="4" t="s">
        <v>21</v>
      </c>
      <c r="M722" s="4">
        <v>1</v>
      </c>
      <c r="N722" s="5">
        <v>500</v>
      </c>
      <c r="O722">
        <f>M722*N722</f>
        <v>500</v>
      </c>
      <c r="P722" s="14">
        <f>O722*$S$3</f>
        <v>7.5</v>
      </c>
    </row>
    <row r="723" spans="1:16">
      <c r="A723" s="2">
        <v>722</v>
      </c>
      <c r="B723" s="4">
        <f>YEAR(G723)</f>
        <v>2023</v>
      </c>
      <c r="C723" s="4">
        <f>MONTH(G723)</f>
        <v>7</v>
      </c>
      <c r="D723" s="4">
        <f>DAY(G723)</f>
        <v>14</v>
      </c>
      <c r="E723" s="4" t="str">
        <f>TEXT(G723, "mmmm")</f>
        <v>July</v>
      </c>
      <c r="F723" s="4" t="str">
        <f>TEXT(G723, "dddd")</f>
        <v>Friday</v>
      </c>
      <c r="G723" s="3">
        <v>45121</v>
      </c>
      <c r="H723" s="4" t="s">
        <v>749</v>
      </c>
      <c r="I723" s="4" t="s">
        <v>16</v>
      </c>
      <c r="J723" s="4">
        <v>20</v>
      </c>
      <c r="K723" s="4" t="str" cm="1">
        <f t="array" ref="K723">_xlfn.IFS(J723&lt;30, "Young Adult", J723&lt;50, "Adult", J723&gt;=50, "Senior")</f>
        <v>Young Adult</v>
      </c>
      <c r="L723" s="4" t="s">
        <v>17</v>
      </c>
      <c r="M723" s="4">
        <v>3</v>
      </c>
      <c r="N723" s="5">
        <v>300</v>
      </c>
      <c r="O723">
        <f>M723*N723</f>
        <v>900</v>
      </c>
      <c r="P723" s="14">
        <f>O723*$S$3</f>
        <v>13.5</v>
      </c>
    </row>
    <row r="724" spans="1:16">
      <c r="A724" s="2">
        <v>723</v>
      </c>
      <c r="B724" s="4">
        <f>YEAR(G724)</f>
        <v>2023</v>
      </c>
      <c r="C724" s="4">
        <f>MONTH(G724)</f>
        <v>6</v>
      </c>
      <c r="D724" s="4">
        <f>DAY(G724)</f>
        <v>17</v>
      </c>
      <c r="E724" s="4" t="str">
        <f>TEXT(G724, "mmmm")</f>
        <v>June</v>
      </c>
      <c r="F724" s="4" t="str">
        <f>TEXT(G724, "dddd")</f>
        <v>Saturday</v>
      </c>
      <c r="G724" s="3">
        <v>45094</v>
      </c>
      <c r="H724" s="4" t="s">
        <v>750</v>
      </c>
      <c r="I724" s="4" t="s">
        <v>20</v>
      </c>
      <c r="J724" s="4">
        <v>54</v>
      </c>
      <c r="K724" s="4" t="str" cm="1">
        <f t="array" ref="K724">_xlfn.IFS(J724&lt;30, "Young Adult", J724&lt;50, "Adult", J724&gt;=50, "Senior")</f>
        <v>Senior</v>
      </c>
      <c r="L724" s="4" t="s">
        <v>17</v>
      </c>
      <c r="M724" s="4">
        <v>4</v>
      </c>
      <c r="N724" s="5">
        <v>50</v>
      </c>
      <c r="O724">
        <f>M724*N724</f>
        <v>200</v>
      </c>
      <c r="P724" s="14">
        <f>O724*$S$3</f>
        <v>3</v>
      </c>
    </row>
    <row r="725" spans="1:16">
      <c r="A725" s="2">
        <v>724</v>
      </c>
      <c r="B725" s="4">
        <f>YEAR(G725)</f>
        <v>2023</v>
      </c>
      <c r="C725" s="4">
        <f>MONTH(G725)</f>
        <v>4</v>
      </c>
      <c r="D725" s="4">
        <f>DAY(G725)</f>
        <v>19</v>
      </c>
      <c r="E725" s="4" t="str">
        <f>TEXT(G725, "mmmm")</f>
        <v>April</v>
      </c>
      <c r="F725" s="4" t="str">
        <f>TEXT(G725, "dddd")</f>
        <v>Wednesday</v>
      </c>
      <c r="G725" s="3">
        <v>45035</v>
      </c>
      <c r="H725" s="4" t="s">
        <v>751</v>
      </c>
      <c r="I725" s="4" t="s">
        <v>16</v>
      </c>
      <c r="J725" s="4">
        <v>61</v>
      </c>
      <c r="K725" s="4" t="str" cm="1">
        <f t="array" ref="K725">_xlfn.IFS(J725&lt;30, "Young Adult", J725&lt;50, "Adult", J725&gt;=50, "Senior")</f>
        <v>Senior</v>
      </c>
      <c r="L725" s="4" t="s">
        <v>21</v>
      </c>
      <c r="M725" s="4">
        <v>3</v>
      </c>
      <c r="N725" s="5">
        <v>50</v>
      </c>
      <c r="O725">
        <f>M725*N725</f>
        <v>150</v>
      </c>
      <c r="P725" s="14">
        <f>O725*$S$3</f>
        <v>2.25</v>
      </c>
    </row>
    <row r="726" spans="1:16">
      <c r="A726" s="2">
        <v>725</v>
      </c>
      <c r="B726" s="4">
        <f>YEAR(G726)</f>
        <v>2023</v>
      </c>
      <c r="C726" s="4">
        <f>MONTH(G726)</f>
        <v>8</v>
      </c>
      <c r="D726" s="4">
        <f>DAY(G726)</f>
        <v>21</v>
      </c>
      <c r="E726" s="4" t="str">
        <f>TEXT(G726, "mmmm")</f>
        <v>August</v>
      </c>
      <c r="F726" s="4" t="str">
        <f>TEXT(G726, "dddd")</f>
        <v>Monday</v>
      </c>
      <c r="G726" s="3">
        <v>45159</v>
      </c>
      <c r="H726" s="4" t="s">
        <v>752</v>
      </c>
      <c r="I726" s="4" t="s">
        <v>16</v>
      </c>
      <c r="J726" s="4">
        <v>61</v>
      </c>
      <c r="K726" s="4" t="str" cm="1">
        <f t="array" ref="K726">_xlfn.IFS(J726&lt;30, "Young Adult", J726&lt;50, "Adult", J726&gt;=50, "Senior")</f>
        <v>Senior</v>
      </c>
      <c r="L726" s="4" t="s">
        <v>24</v>
      </c>
      <c r="M726" s="4">
        <v>1</v>
      </c>
      <c r="N726" s="5">
        <v>300</v>
      </c>
      <c r="O726">
        <f>M726*N726</f>
        <v>300</v>
      </c>
      <c r="P726" s="14">
        <f>O726*$S$3</f>
        <v>4.5</v>
      </c>
    </row>
    <row r="727" spans="1:16">
      <c r="A727" s="2">
        <v>726</v>
      </c>
      <c r="B727" s="4">
        <f>YEAR(G727)</f>
        <v>2023</v>
      </c>
      <c r="C727" s="4">
        <f>MONTH(G727)</f>
        <v>6</v>
      </c>
      <c r="D727" s="4">
        <f>DAY(G727)</f>
        <v>17</v>
      </c>
      <c r="E727" s="4" t="str">
        <f>TEXT(G727, "mmmm")</f>
        <v>June</v>
      </c>
      <c r="F727" s="4" t="str">
        <f>TEXT(G727, "dddd")</f>
        <v>Saturday</v>
      </c>
      <c r="G727" s="3">
        <v>45094</v>
      </c>
      <c r="H727" s="4" t="s">
        <v>753</v>
      </c>
      <c r="I727" s="4" t="s">
        <v>16</v>
      </c>
      <c r="J727" s="4">
        <v>47</v>
      </c>
      <c r="K727" s="4" t="str" cm="1">
        <f t="array" ref="K727">_xlfn.IFS(J727&lt;30, "Young Adult", J727&lt;50, "Adult", J727&gt;=50, "Senior")</f>
        <v>Adult</v>
      </c>
      <c r="L727" s="4" t="s">
        <v>21</v>
      </c>
      <c r="M727" s="4">
        <v>4</v>
      </c>
      <c r="N727" s="5">
        <v>300</v>
      </c>
      <c r="O727">
        <f>M727*N727</f>
        <v>1200</v>
      </c>
      <c r="P727" s="14">
        <f>O727*$S$3</f>
        <v>18</v>
      </c>
    </row>
    <row r="728" spans="1:16">
      <c r="A728" s="2">
        <v>727</v>
      </c>
      <c r="B728" s="4">
        <f>YEAR(G728)</f>
        <v>2023</v>
      </c>
      <c r="C728" s="4">
        <f>MONTH(G728)</f>
        <v>6</v>
      </c>
      <c r="D728" s="4">
        <f>DAY(G728)</f>
        <v>22</v>
      </c>
      <c r="E728" s="4" t="str">
        <f>TEXT(G728, "mmmm")</f>
        <v>June</v>
      </c>
      <c r="F728" s="4" t="str">
        <f>TEXT(G728, "dddd")</f>
        <v>Thursday</v>
      </c>
      <c r="G728" s="3">
        <v>45099</v>
      </c>
      <c r="H728" s="4" t="s">
        <v>754</v>
      </c>
      <c r="I728" s="4" t="s">
        <v>16</v>
      </c>
      <c r="J728" s="4">
        <v>55</v>
      </c>
      <c r="K728" s="4" t="str" cm="1">
        <f t="array" ref="K728">_xlfn.IFS(J728&lt;30, "Young Adult", J728&lt;50, "Adult", J728&gt;=50, "Senior")</f>
        <v>Senior</v>
      </c>
      <c r="L728" s="4" t="s">
        <v>17</v>
      </c>
      <c r="M728" s="4">
        <v>3</v>
      </c>
      <c r="N728" s="5">
        <v>300</v>
      </c>
      <c r="O728">
        <f>M728*N728</f>
        <v>900</v>
      </c>
      <c r="P728" s="14">
        <f>O728*$S$3</f>
        <v>13.5</v>
      </c>
    </row>
    <row r="729" spans="1:16">
      <c r="A729" s="2">
        <v>728</v>
      </c>
      <c r="B729" s="4">
        <f>YEAR(G729)</f>
        <v>2023</v>
      </c>
      <c r="C729" s="4">
        <f>MONTH(G729)</f>
        <v>7</v>
      </c>
      <c r="D729" s="4">
        <f>DAY(G729)</f>
        <v>14</v>
      </c>
      <c r="E729" s="4" t="str">
        <f>TEXT(G729, "mmmm")</f>
        <v>July</v>
      </c>
      <c r="F729" s="4" t="str">
        <f>TEXT(G729, "dddd")</f>
        <v>Friday</v>
      </c>
      <c r="G729" s="3">
        <v>45121</v>
      </c>
      <c r="H729" s="4" t="s">
        <v>755</v>
      </c>
      <c r="I729" s="4" t="s">
        <v>16</v>
      </c>
      <c r="J729" s="4">
        <v>51</v>
      </c>
      <c r="K729" s="4" t="str" cm="1">
        <f t="array" ref="K729">_xlfn.IFS(J729&lt;30, "Young Adult", J729&lt;50, "Adult", J729&gt;=50, "Senior")</f>
        <v>Senior</v>
      </c>
      <c r="L729" s="4" t="s">
        <v>24</v>
      </c>
      <c r="M729" s="4">
        <v>3</v>
      </c>
      <c r="N729" s="5">
        <v>50</v>
      </c>
      <c r="O729">
        <f>M729*N729</f>
        <v>150</v>
      </c>
      <c r="P729" s="14">
        <f>O729*$S$3</f>
        <v>2.25</v>
      </c>
    </row>
    <row r="730" spans="1:16">
      <c r="A730" s="2">
        <v>729</v>
      </c>
      <c r="B730" s="4">
        <f>YEAR(G730)</f>
        <v>2023</v>
      </c>
      <c r="C730" s="4">
        <f>MONTH(G730)</f>
        <v>5</v>
      </c>
      <c r="D730" s="4">
        <f>DAY(G730)</f>
        <v>23</v>
      </c>
      <c r="E730" s="4" t="str">
        <f>TEXT(G730, "mmmm")</f>
        <v>May</v>
      </c>
      <c r="F730" s="4" t="str">
        <f>TEXT(G730, "dddd")</f>
        <v>Tuesday</v>
      </c>
      <c r="G730" s="3">
        <v>45069</v>
      </c>
      <c r="H730" s="4" t="s">
        <v>756</v>
      </c>
      <c r="I730" s="4" t="s">
        <v>16</v>
      </c>
      <c r="J730" s="4">
        <v>29</v>
      </c>
      <c r="K730" s="4" t="str" cm="1">
        <f t="array" ref="K730">_xlfn.IFS(J730&lt;30, "Young Adult", J730&lt;50, "Adult", J730&gt;=50, "Senior")</f>
        <v>Young Adult</v>
      </c>
      <c r="L730" s="4" t="s">
        <v>21</v>
      </c>
      <c r="M730" s="4">
        <v>4</v>
      </c>
      <c r="N730" s="5">
        <v>300</v>
      </c>
      <c r="O730">
        <f>M730*N730</f>
        <v>1200</v>
      </c>
      <c r="P730" s="14">
        <f>O730*$S$3</f>
        <v>18</v>
      </c>
    </row>
    <row r="731" spans="1:16">
      <c r="A731" s="2">
        <v>730</v>
      </c>
      <c r="B731" s="4">
        <f>YEAR(G731)</f>
        <v>2023</v>
      </c>
      <c r="C731" s="4">
        <f>MONTH(G731)</f>
        <v>8</v>
      </c>
      <c r="D731" s="4">
        <f>DAY(G731)</f>
        <v>4</v>
      </c>
      <c r="E731" s="4" t="str">
        <f>TEXT(G731, "mmmm")</f>
        <v>August</v>
      </c>
      <c r="F731" s="4" t="str">
        <f>TEXT(G731, "dddd")</f>
        <v>Friday</v>
      </c>
      <c r="G731" s="3">
        <v>45142</v>
      </c>
      <c r="H731" s="4" t="s">
        <v>757</v>
      </c>
      <c r="I731" s="4" t="s">
        <v>20</v>
      </c>
      <c r="J731" s="4">
        <v>36</v>
      </c>
      <c r="K731" s="4" t="str" cm="1">
        <f t="array" ref="K731">_xlfn.IFS(J731&lt;30, "Young Adult", J731&lt;50, "Adult", J731&gt;=50, "Senior")</f>
        <v>Adult</v>
      </c>
      <c r="L731" s="4" t="s">
        <v>21</v>
      </c>
      <c r="M731" s="4">
        <v>2</v>
      </c>
      <c r="N731" s="5">
        <v>25</v>
      </c>
      <c r="O731">
        <f>M731*N731</f>
        <v>50</v>
      </c>
      <c r="P731" s="14">
        <f>O731*$S$3</f>
        <v>0.75</v>
      </c>
    </row>
    <row r="732" spans="1:16">
      <c r="A732" s="2">
        <v>731</v>
      </c>
      <c r="B732" s="4">
        <f>YEAR(G732)</f>
        <v>2023</v>
      </c>
      <c r="C732" s="4">
        <f>MONTH(G732)</f>
        <v>5</v>
      </c>
      <c r="D732" s="4">
        <f>DAY(G732)</f>
        <v>10</v>
      </c>
      <c r="E732" s="4" t="str">
        <f>TEXT(G732, "mmmm")</f>
        <v>May</v>
      </c>
      <c r="F732" s="4" t="str">
        <f>TEXT(G732, "dddd")</f>
        <v>Wednesday</v>
      </c>
      <c r="G732" s="3">
        <v>45056</v>
      </c>
      <c r="H732" s="4" t="s">
        <v>758</v>
      </c>
      <c r="I732" s="4" t="s">
        <v>16</v>
      </c>
      <c r="J732" s="4">
        <v>54</v>
      </c>
      <c r="K732" s="4" t="str" cm="1">
        <f t="array" ref="K732">_xlfn.IFS(J732&lt;30, "Young Adult", J732&lt;50, "Adult", J732&gt;=50, "Senior")</f>
        <v>Senior</v>
      </c>
      <c r="L732" s="4" t="s">
        <v>21</v>
      </c>
      <c r="M732" s="4">
        <v>4</v>
      </c>
      <c r="N732" s="5">
        <v>500</v>
      </c>
      <c r="O732">
        <f>M732*N732</f>
        <v>2000</v>
      </c>
      <c r="P732" s="14">
        <f>O732*$S$3</f>
        <v>30</v>
      </c>
    </row>
    <row r="733" spans="1:16">
      <c r="A733" s="2">
        <v>732</v>
      </c>
      <c r="B733" s="4">
        <f>YEAR(G733)</f>
        <v>2023</v>
      </c>
      <c r="C733" s="4">
        <f>MONTH(G733)</f>
        <v>2</v>
      </c>
      <c r="D733" s="4">
        <f>DAY(G733)</f>
        <v>11</v>
      </c>
      <c r="E733" s="4" t="str">
        <f>TEXT(G733, "mmmm")</f>
        <v>February</v>
      </c>
      <c r="F733" s="4" t="str">
        <f>TEXT(G733, "dddd")</f>
        <v>Saturday</v>
      </c>
      <c r="G733" s="3">
        <v>44968</v>
      </c>
      <c r="H733" s="4" t="s">
        <v>759</v>
      </c>
      <c r="I733" s="4" t="s">
        <v>16</v>
      </c>
      <c r="J733" s="4">
        <v>61</v>
      </c>
      <c r="K733" s="4" t="str" cm="1">
        <f t="array" ref="K733">_xlfn.IFS(J733&lt;30, "Young Adult", J733&lt;50, "Adult", J733&gt;=50, "Senior")</f>
        <v>Senior</v>
      </c>
      <c r="L733" s="4" t="s">
        <v>24</v>
      </c>
      <c r="M733" s="4">
        <v>2</v>
      </c>
      <c r="N733" s="5">
        <v>500</v>
      </c>
      <c r="O733">
        <f>M733*N733</f>
        <v>1000</v>
      </c>
      <c r="P733" s="14">
        <f>O733*$S$3</f>
        <v>15</v>
      </c>
    </row>
    <row r="734" spans="1:16">
      <c r="A734" s="2">
        <v>733</v>
      </c>
      <c r="B734" s="4">
        <f>YEAR(G734)</f>
        <v>2023</v>
      </c>
      <c r="C734" s="4">
        <f>MONTH(G734)</f>
        <v>8</v>
      </c>
      <c r="D734" s="4">
        <f>DAY(G734)</f>
        <v>29</v>
      </c>
      <c r="E734" s="4" t="str">
        <f>TEXT(G734, "mmmm")</f>
        <v>August</v>
      </c>
      <c r="F734" s="4" t="str">
        <f>TEXT(G734, "dddd")</f>
        <v>Tuesday</v>
      </c>
      <c r="G734" s="3">
        <v>45167</v>
      </c>
      <c r="H734" s="4" t="s">
        <v>760</v>
      </c>
      <c r="I734" s="4" t="s">
        <v>16</v>
      </c>
      <c r="J734" s="4">
        <v>34</v>
      </c>
      <c r="K734" s="4" t="str" cm="1">
        <f t="array" ref="K734">_xlfn.IFS(J734&lt;30, "Young Adult", J734&lt;50, "Adult", J734&gt;=50, "Senior")</f>
        <v>Adult</v>
      </c>
      <c r="L734" s="4" t="s">
        <v>17</v>
      </c>
      <c r="M734" s="4">
        <v>1</v>
      </c>
      <c r="N734" s="5">
        <v>30</v>
      </c>
      <c r="O734">
        <f>M734*N734</f>
        <v>30</v>
      </c>
      <c r="P734" s="14">
        <f>O734*$S$3</f>
        <v>0.44999999999999996</v>
      </c>
    </row>
    <row r="735" spans="1:16">
      <c r="A735" s="2">
        <v>734</v>
      </c>
      <c r="B735" s="4">
        <f>YEAR(G735)</f>
        <v>2023</v>
      </c>
      <c r="C735" s="4">
        <f>MONTH(G735)</f>
        <v>1</v>
      </c>
      <c r="D735" s="4">
        <f>DAY(G735)</f>
        <v>10</v>
      </c>
      <c r="E735" s="4" t="str">
        <f>TEXT(G735, "mmmm")</f>
        <v>January</v>
      </c>
      <c r="F735" s="4" t="str">
        <f>TEXT(G735, "dddd")</f>
        <v>Tuesday</v>
      </c>
      <c r="G735" s="3">
        <v>44936</v>
      </c>
      <c r="H735" s="4" t="s">
        <v>761</v>
      </c>
      <c r="I735" s="4" t="s">
        <v>20</v>
      </c>
      <c r="J735" s="4">
        <v>27</v>
      </c>
      <c r="K735" s="4" t="str" cm="1">
        <f t="array" ref="K735">_xlfn.IFS(J735&lt;30, "Young Adult", J735&lt;50, "Adult", J735&gt;=50, "Senior")</f>
        <v>Young Adult</v>
      </c>
      <c r="L735" s="4" t="s">
        <v>21</v>
      </c>
      <c r="M735" s="4">
        <v>1</v>
      </c>
      <c r="N735" s="5">
        <v>30</v>
      </c>
      <c r="O735">
        <f>M735*N735</f>
        <v>30</v>
      </c>
      <c r="P735" s="14">
        <f>O735*$S$3</f>
        <v>0.44999999999999996</v>
      </c>
    </row>
    <row r="736" spans="1:16">
      <c r="A736" s="2">
        <v>735</v>
      </c>
      <c r="B736" s="4">
        <f>YEAR(G736)</f>
        <v>2023</v>
      </c>
      <c r="C736" s="4">
        <f>MONTH(G736)</f>
        <v>10</v>
      </c>
      <c r="D736" s="4">
        <f>DAY(G736)</f>
        <v>4</v>
      </c>
      <c r="E736" s="4" t="str">
        <f>TEXT(G736, "mmmm")</f>
        <v>October</v>
      </c>
      <c r="F736" s="4" t="str">
        <f>TEXT(G736, "dddd")</f>
        <v>Wednesday</v>
      </c>
      <c r="G736" s="3">
        <v>45203</v>
      </c>
      <c r="H736" s="4" t="s">
        <v>762</v>
      </c>
      <c r="I736" s="4" t="s">
        <v>20</v>
      </c>
      <c r="J736" s="4">
        <v>64</v>
      </c>
      <c r="K736" s="4" t="str" cm="1">
        <f t="array" ref="K736">_xlfn.IFS(J736&lt;30, "Young Adult", J736&lt;50, "Adult", J736&gt;=50, "Senior")</f>
        <v>Senior</v>
      </c>
      <c r="L736" s="4" t="s">
        <v>21</v>
      </c>
      <c r="M736" s="4">
        <v>4</v>
      </c>
      <c r="N736" s="5">
        <v>500</v>
      </c>
      <c r="O736">
        <f>M736*N736</f>
        <v>2000</v>
      </c>
      <c r="P736" s="14">
        <f>O736*$S$3</f>
        <v>30</v>
      </c>
    </row>
    <row r="737" spans="1:16">
      <c r="A737" s="2">
        <v>736</v>
      </c>
      <c r="B737" s="4">
        <f>YEAR(G737)</f>
        <v>2023</v>
      </c>
      <c r="C737" s="4">
        <f>MONTH(G737)</f>
        <v>1</v>
      </c>
      <c r="D737" s="4">
        <f>DAY(G737)</f>
        <v>27</v>
      </c>
      <c r="E737" s="4" t="str">
        <f>TEXT(G737, "mmmm")</f>
        <v>January</v>
      </c>
      <c r="F737" s="4" t="str">
        <f>TEXT(G737, "dddd")</f>
        <v>Friday</v>
      </c>
      <c r="G737" s="3">
        <v>44953</v>
      </c>
      <c r="H737" s="4" t="s">
        <v>763</v>
      </c>
      <c r="I737" s="4" t="s">
        <v>16</v>
      </c>
      <c r="J737" s="4">
        <v>29</v>
      </c>
      <c r="K737" s="4" t="str" cm="1">
        <f t="array" ref="K737">_xlfn.IFS(J737&lt;30, "Young Adult", J737&lt;50, "Adult", J737&gt;=50, "Senior")</f>
        <v>Young Adult</v>
      </c>
      <c r="L737" s="4" t="s">
        <v>21</v>
      </c>
      <c r="M737" s="4">
        <v>4</v>
      </c>
      <c r="N737" s="5">
        <v>25</v>
      </c>
      <c r="O737">
        <f>M737*N737</f>
        <v>100</v>
      </c>
      <c r="P737" s="14">
        <f>O737*$S$3</f>
        <v>1.5</v>
      </c>
    </row>
    <row r="738" spans="1:16">
      <c r="A738" s="2">
        <v>737</v>
      </c>
      <c r="B738" s="4">
        <f>YEAR(G738)</f>
        <v>2023</v>
      </c>
      <c r="C738" s="4">
        <f>MONTH(G738)</f>
        <v>6</v>
      </c>
      <c r="D738" s="4">
        <f>DAY(G738)</f>
        <v>29</v>
      </c>
      <c r="E738" s="4" t="str">
        <f>TEXT(G738, "mmmm")</f>
        <v>June</v>
      </c>
      <c r="F738" s="4" t="str">
        <f>TEXT(G738, "dddd")</f>
        <v>Thursday</v>
      </c>
      <c r="G738" s="3">
        <v>45106</v>
      </c>
      <c r="H738" s="4" t="s">
        <v>764</v>
      </c>
      <c r="I738" s="4" t="s">
        <v>20</v>
      </c>
      <c r="J738" s="4">
        <v>33</v>
      </c>
      <c r="K738" s="4" t="str" cm="1">
        <f t="array" ref="K738">_xlfn.IFS(J738&lt;30, "Young Adult", J738&lt;50, "Adult", J738&gt;=50, "Senior")</f>
        <v>Adult</v>
      </c>
      <c r="L738" s="4" t="s">
        <v>21</v>
      </c>
      <c r="M738" s="4">
        <v>1</v>
      </c>
      <c r="N738" s="5">
        <v>50</v>
      </c>
      <c r="O738">
        <f>M738*N738</f>
        <v>50</v>
      </c>
      <c r="P738" s="14">
        <f>O738*$S$3</f>
        <v>0.75</v>
      </c>
    </row>
    <row r="739" spans="1:16">
      <c r="A739" s="2">
        <v>738</v>
      </c>
      <c r="B739" s="4">
        <f>YEAR(G739)</f>
        <v>2023</v>
      </c>
      <c r="C739" s="4">
        <f>MONTH(G739)</f>
        <v>4</v>
      </c>
      <c r="D739" s="4">
        <f>DAY(G739)</f>
        <v>25</v>
      </c>
      <c r="E739" s="4" t="str">
        <f>TEXT(G739, "mmmm")</f>
        <v>April</v>
      </c>
      <c r="F739" s="4" t="str">
        <f>TEXT(G739, "dddd")</f>
        <v>Tuesday</v>
      </c>
      <c r="G739" s="3">
        <v>45041</v>
      </c>
      <c r="H739" s="4" t="s">
        <v>765</v>
      </c>
      <c r="I739" s="4" t="s">
        <v>16</v>
      </c>
      <c r="J739" s="4">
        <v>41</v>
      </c>
      <c r="K739" s="4" t="str" cm="1">
        <f t="array" ref="K739">_xlfn.IFS(J739&lt;30, "Young Adult", J739&lt;50, "Adult", J739&gt;=50, "Senior")</f>
        <v>Adult</v>
      </c>
      <c r="L739" s="4" t="s">
        <v>21</v>
      </c>
      <c r="M739" s="4">
        <v>2</v>
      </c>
      <c r="N739" s="5">
        <v>50</v>
      </c>
      <c r="O739">
        <f>M739*N739</f>
        <v>100</v>
      </c>
      <c r="P739" s="14">
        <f>O739*$S$3</f>
        <v>1.5</v>
      </c>
    </row>
    <row r="740" spans="1:16">
      <c r="A740" s="2">
        <v>739</v>
      </c>
      <c r="B740" s="4">
        <f>YEAR(G740)</f>
        <v>2023</v>
      </c>
      <c r="C740" s="4">
        <f>MONTH(G740)</f>
        <v>11</v>
      </c>
      <c r="D740" s="4">
        <f>DAY(G740)</f>
        <v>29</v>
      </c>
      <c r="E740" s="4" t="str">
        <f>TEXT(G740, "mmmm")</f>
        <v>November</v>
      </c>
      <c r="F740" s="4" t="str">
        <f>TEXT(G740, "dddd")</f>
        <v>Wednesday</v>
      </c>
      <c r="G740" s="3">
        <v>45259</v>
      </c>
      <c r="H740" s="4" t="s">
        <v>766</v>
      </c>
      <c r="I740" s="4" t="s">
        <v>16</v>
      </c>
      <c r="J740" s="4">
        <v>36</v>
      </c>
      <c r="K740" s="4" t="str" cm="1">
        <f t="array" ref="K740">_xlfn.IFS(J740&lt;30, "Young Adult", J740&lt;50, "Adult", J740&gt;=50, "Senior")</f>
        <v>Adult</v>
      </c>
      <c r="L740" s="4" t="s">
        <v>17</v>
      </c>
      <c r="M740" s="4">
        <v>1</v>
      </c>
      <c r="N740" s="5">
        <v>25</v>
      </c>
      <c r="O740">
        <f>M740*N740</f>
        <v>25</v>
      </c>
      <c r="P740" s="14">
        <f>O740*$S$3</f>
        <v>0.375</v>
      </c>
    </row>
    <row r="741" spans="1:16">
      <c r="A741" s="2">
        <v>740</v>
      </c>
      <c r="B741" s="4">
        <f>YEAR(G741)</f>
        <v>2023</v>
      </c>
      <c r="C741" s="4">
        <f>MONTH(G741)</f>
        <v>2</v>
      </c>
      <c r="D741" s="4">
        <f>DAY(G741)</f>
        <v>5</v>
      </c>
      <c r="E741" s="4" t="str">
        <f>TEXT(G741, "mmmm")</f>
        <v>February</v>
      </c>
      <c r="F741" s="4" t="str">
        <f>TEXT(G741, "dddd")</f>
        <v>Sunday</v>
      </c>
      <c r="G741" s="3">
        <v>44962</v>
      </c>
      <c r="H741" s="4" t="s">
        <v>767</v>
      </c>
      <c r="I741" s="4" t="s">
        <v>20</v>
      </c>
      <c r="J741" s="4">
        <v>25</v>
      </c>
      <c r="K741" s="4" t="str" cm="1">
        <f t="array" ref="K741">_xlfn.IFS(J741&lt;30, "Young Adult", J741&lt;50, "Adult", J741&gt;=50, "Senior")</f>
        <v>Young Adult</v>
      </c>
      <c r="L741" s="4" t="s">
        <v>17</v>
      </c>
      <c r="M741" s="4">
        <v>4</v>
      </c>
      <c r="N741" s="5">
        <v>50</v>
      </c>
      <c r="O741">
        <f>M741*N741</f>
        <v>200</v>
      </c>
      <c r="P741" s="14">
        <f>O741*$S$3</f>
        <v>3</v>
      </c>
    </row>
    <row r="742" spans="1:16">
      <c r="A742" s="2">
        <v>741</v>
      </c>
      <c r="B742" s="4">
        <f>YEAR(G742)</f>
        <v>2023</v>
      </c>
      <c r="C742" s="4">
        <f>MONTH(G742)</f>
        <v>11</v>
      </c>
      <c r="D742" s="4">
        <f>DAY(G742)</f>
        <v>30</v>
      </c>
      <c r="E742" s="4" t="str">
        <f>TEXT(G742, "mmmm")</f>
        <v>November</v>
      </c>
      <c r="F742" s="4" t="str">
        <f>TEXT(G742, "dddd")</f>
        <v>Thursday</v>
      </c>
      <c r="G742" s="3">
        <v>45260</v>
      </c>
      <c r="H742" s="4" t="s">
        <v>768</v>
      </c>
      <c r="I742" s="4" t="s">
        <v>16</v>
      </c>
      <c r="J742" s="4">
        <v>48</v>
      </c>
      <c r="K742" s="4" t="str" cm="1">
        <f t="array" ref="K742">_xlfn.IFS(J742&lt;30, "Young Adult", J742&lt;50, "Adult", J742&gt;=50, "Senior")</f>
        <v>Adult</v>
      </c>
      <c r="L742" s="4" t="s">
        <v>21</v>
      </c>
      <c r="M742" s="4">
        <v>1</v>
      </c>
      <c r="N742" s="5">
        <v>300</v>
      </c>
      <c r="O742">
        <f>M742*N742</f>
        <v>300</v>
      </c>
      <c r="P742" s="14">
        <f>O742*$S$3</f>
        <v>4.5</v>
      </c>
    </row>
    <row r="743" spans="1:16">
      <c r="A743" s="2">
        <v>742</v>
      </c>
      <c r="B743" s="4">
        <f>YEAR(G743)</f>
        <v>2023</v>
      </c>
      <c r="C743" s="4">
        <f>MONTH(G743)</f>
        <v>1</v>
      </c>
      <c r="D743" s="4">
        <f>DAY(G743)</f>
        <v>21</v>
      </c>
      <c r="E743" s="4" t="str">
        <f>TEXT(G743, "mmmm")</f>
        <v>January</v>
      </c>
      <c r="F743" s="4" t="str">
        <f>TEXT(G743, "dddd")</f>
        <v>Saturday</v>
      </c>
      <c r="G743" s="3">
        <v>44947</v>
      </c>
      <c r="H743" s="4" t="s">
        <v>769</v>
      </c>
      <c r="I743" s="4" t="s">
        <v>20</v>
      </c>
      <c r="J743" s="4">
        <v>38</v>
      </c>
      <c r="K743" s="4" t="str" cm="1">
        <f t="array" ref="K743">_xlfn.IFS(J743&lt;30, "Young Adult", J743&lt;50, "Adult", J743&gt;=50, "Senior")</f>
        <v>Adult</v>
      </c>
      <c r="L743" s="4" t="s">
        <v>24</v>
      </c>
      <c r="M743" s="4">
        <v>4</v>
      </c>
      <c r="N743" s="5">
        <v>500</v>
      </c>
      <c r="O743">
        <f>M743*N743</f>
        <v>2000</v>
      </c>
      <c r="P743" s="14">
        <f>O743*$S$3</f>
        <v>30</v>
      </c>
    </row>
    <row r="744" spans="1:16">
      <c r="A744" s="2">
        <v>743</v>
      </c>
      <c r="B744" s="4">
        <f>YEAR(G744)</f>
        <v>2023</v>
      </c>
      <c r="C744" s="4">
        <f>MONTH(G744)</f>
        <v>1</v>
      </c>
      <c r="D744" s="4">
        <f>DAY(G744)</f>
        <v>16</v>
      </c>
      <c r="E744" s="4" t="str">
        <f>TEXT(G744, "mmmm")</f>
        <v>January</v>
      </c>
      <c r="F744" s="4" t="str">
        <f>TEXT(G744, "dddd")</f>
        <v>Monday</v>
      </c>
      <c r="G744" s="3">
        <v>44942</v>
      </c>
      <c r="H744" s="4" t="s">
        <v>770</v>
      </c>
      <c r="I744" s="4" t="s">
        <v>20</v>
      </c>
      <c r="J744" s="4">
        <v>34</v>
      </c>
      <c r="K744" s="4" t="str" cm="1">
        <f t="array" ref="K744">_xlfn.IFS(J744&lt;30, "Young Adult", J744&lt;50, "Adult", J744&gt;=50, "Senior")</f>
        <v>Adult</v>
      </c>
      <c r="L744" s="4" t="s">
        <v>17</v>
      </c>
      <c r="M744" s="4">
        <v>4</v>
      </c>
      <c r="N744" s="5">
        <v>500</v>
      </c>
      <c r="O744">
        <f>M744*N744</f>
        <v>2000</v>
      </c>
      <c r="P744" s="14">
        <f>O744*$S$3</f>
        <v>30</v>
      </c>
    </row>
    <row r="745" spans="1:16">
      <c r="A745" s="2">
        <v>744</v>
      </c>
      <c r="B745" s="4">
        <f>YEAR(G745)</f>
        <v>2023</v>
      </c>
      <c r="C745" s="4">
        <f>MONTH(G745)</f>
        <v>5</v>
      </c>
      <c r="D745" s="4">
        <f>DAY(G745)</f>
        <v>7</v>
      </c>
      <c r="E745" s="4" t="str">
        <f>TEXT(G745, "mmmm")</f>
        <v>May</v>
      </c>
      <c r="F745" s="4" t="str">
        <f>TEXT(G745, "dddd")</f>
        <v>Sunday</v>
      </c>
      <c r="G745" s="3">
        <v>45053</v>
      </c>
      <c r="H745" s="4" t="s">
        <v>771</v>
      </c>
      <c r="I745" s="4" t="s">
        <v>16</v>
      </c>
      <c r="J745" s="4">
        <v>40</v>
      </c>
      <c r="K745" s="4" t="str" cm="1">
        <f t="array" ref="K745">_xlfn.IFS(J745&lt;30, "Young Adult", J745&lt;50, "Adult", J745&gt;=50, "Senior")</f>
        <v>Adult</v>
      </c>
      <c r="L745" s="4" t="s">
        <v>24</v>
      </c>
      <c r="M745" s="4">
        <v>1</v>
      </c>
      <c r="N745" s="5">
        <v>25</v>
      </c>
      <c r="O745">
        <f>M745*N745</f>
        <v>25</v>
      </c>
      <c r="P745" s="14">
        <f>O745*$S$3</f>
        <v>0.375</v>
      </c>
    </row>
    <row r="746" spans="1:16">
      <c r="A746" s="2">
        <v>745</v>
      </c>
      <c r="B746" s="4">
        <f>YEAR(G746)</f>
        <v>2023</v>
      </c>
      <c r="C746" s="4">
        <f>MONTH(G746)</f>
        <v>4</v>
      </c>
      <c r="D746" s="4">
        <f>DAY(G746)</f>
        <v>13</v>
      </c>
      <c r="E746" s="4" t="str">
        <f>TEXT(G746, "mmmm")</f>
        <v>April</v>
      </c>
      <c r="F746" s="4" t="str">
        <f>TEXT(G746, "dddd")</f>
        <v>Thursday</v>
      </c>
      <c r="G746" s="3">
        <v>45029</v>
      </c>
      <c r="H746" s="4" t="s">
        <v>772</v>
      </c>
      <c r="I746" s="4" t="s">
        <v>16</v>
      </c>
      <c r="J746" s="4">
        <v>54</v>
      </c>
      <c r="K746" s="4" t="str" cm="1">
        <f t="array" ref="K746">_xlfn.IFS(J746&lt;30, "Young Adult", J746&lt;50, "Adult", J746&gt;=50, "Senior")</f>
        <v>Senior</v>
      </c>
      <c r="L746" s="4" t="s">
        <v>17</v>
      </c>
      <c r="M746" s="4">
        <v>2</v>
      </c>
      <c r="N746" s="5">
        <v>50</v>
      </c>
      <c r="O746">
        <f>M746*N746</f>
        <v>100</v>
      </c>
      <c r="P746" s="14">
        <f>O746*$S$3</f>
        <v>1.5</v>
      </c>
    </row>
    <row r="747" spans="1:16">
      <c r="A747" s="2">
        <v>746</v>
      </c>
      <c r="B747" s="4">
        <f>YEAR(G747)</f>
        <v>2023</v>
      </c>
      <c r="C747" s="4">
        <f>MONTH(G747)</f>
        <v>1</v>
      </c>
      <c r="D747" s="4">
        <f>DAY(G747)</f>
        <v>11</v>
      </c>
      <c r="E747" s="4" t="str">
        <f>TEXT(G747, "mmmm")</f>
        <v>January</v>
      </c>
      <c r="F747" s="4" t="str">
        <f>TEXT(G747, "dddd")</f>
        <v>Wednesday</v>
      </c>
      <c r="G747" s="3">
        <v>44937</v>
      </c>
      <c r="H747" s="4" t="s">
        <v>773</v>
      </c>
      <c r="I747" s="4" t="s">
        <v>20</v>
      </c>
      <c r="J747" s="4">
        <v>33</v>
      </c>
      <c r="K747" s="4" t="str" cm="1">
        <f t="array" ref="K747">_xlfn.IFS(J747&lt;30, "Young Adult", J747&lt;50, "Adult", J747&gt;=50, "Senior")</f>
        <v>Adult</v>
      </c>
      <c r="L747" s="4" t="s">
        <v>21</v>
      </c>
      <c r="M747" s="4">
        <v>3</v>
      </c>
      <c r="N747" s="5">
        <v>30</v>
      </c>
      <c r="O747">
        <f>M747*N747</f>
        <v>90</v>
      </c>
      <c r="P747" s="14">
        <f>O747*$S$3</f>
        <v>1.3499999999999999</v>
      </c>
    </row>
    <row r="748" spans="1:16">
      <c r="A748" s="2">
        <v>747</v>
      </c>
      <c r="B748" s="4">
        <f>YEAR(G748)</f>
        <v>2023</v>
      </c>
      <c r="C748" s="4">
        <f>MONTH(G748)</f>
        <v>11</v>
      </c>
      <c r="D748" s="4">
        <f>DAY(G748)</f>
        <v>15</v>
      </c>
      <c r="E748" s="4" t="str">
        <f>TEXT(G748, "mmmm")</f>
        <v>November</v>
      </c>
      <c r="F748" s="4" t="str">
        <f>TEXT(G748, "dddd")</f>
        <v>Wednesday</v>
      </c>
      <c r="G748" s="3">
        <v>45245</v>
      </c>
      <c r="H748" s="4" t="s">
        <v>774</v>
      </c>
      <c r="I748" s="4" t="s">
        <v>16</v>
      </c>
      <c r="J748" s="4">
        <v>23</v>
      </c>
      <c r="K748" s="4" t="str" cm="1">
        <f t="array" ref="K748">_xlfn.IFS(J748&lt;30, "Young Adult", J748&lt;50, "Adult", J748&gt;=50, "Senior")</f>
        <v>Young Adult</v>
      </c>
      <c r="L748" s="4" t="s">
        <v>17</v>
      </c>
      <c r="M748" s="4">
        <v>1</v>
      </c>
      <c r="N748" s="5">
        <v>30</v>
      </c>
      <c r="O748">
        <f>M748*N748</f>
        <v>30</v>
      </c>
      <c r="P748" s="14">
        <f>O748*$S$3</f>
        <v>0.44999999999999996</v>
      </c>
    </row>
    <row r="749" spans="1:16">
      <c r="A749" s="2">
        <v>748</v>
      </c>
      <c r="B749" s="4">
        <f>YEAR(G749)</f>
        <v>2023</v>
      </c>
      <c r="C749" s="4">
        <f>MONTH(G749)</f>
        <v>3</v>
      </c>
      <c r="D749" s="4">
        <f>DAY(G749)</f>
        <v>20</v>
      </c>
      <c r="E749" s="4" t="str">
        <f>TEXT(G749, "mmmm")</f>
        <v>March</v>
      </c>
      <c r="F749" s="4" t="str">
        <f>TEXT(G749, "dddd")</f>
        <v>Monday</v>
      </c>
      <c r="G749" s="3">
        <v>45005</v>
      </c>
      <c r="H749" s="4" t="s">
        <v>775</v>
      </c>
      <c r="I749" s="4" t="s">
        <v>16</v>
      </c>
      <c r="J749" s="4">
        <v>25</v>
      </c>
      <c r="K749" s="4" t="str" cm="1">
        <f t="array" ref="K749">_xlfn.IFS(J749&lt;30, "Young Adult", J749&lt;50, "Adult", J749&gt;=50, "Senior")</f>
        <v>Young Adult</v>
      </c>
      <c r="L749" s="4" t="s">
        <v>21</v>
      </c>
      <c r="M749" s="4">
        <v>3</v>
      </c>
      <c r="N749" s="5">
        <v>50</v>
      </c>
      <c r="O749">
        <f>M749*N749</f>
        <v>150</v>
      </c>
      <c r="P749" s="14">
        <f>O749*$S$3</f>
        <v>2.25</v>
      </c>
    </row>
    <row r="750" spans="1:16">
      <c r="A750" s="2">
        <v>749</v>
      </c>
      <c r="B750" s="4">
        <f>YEAR(G750)</f>
        <v>2023</v>
      </c>
      <c r="C750" s="4">
        <f>MONTH(G750)</f>
        <v>5</v>
      </c>
      <c r="D750" s="4">
        <f>DAY(G750)</f>
        <v>3</v>
      </c>
      <c r="E750" s="4" t="str">
        <f>TEXT(G750, "mmmm")</f>
        <v>May</v>
      </c>
      <c r="F750" s="4" t="str">
        <f>TEXT(G750, "dddd")</f>
        <v>Wednesday</v>
      </c>
      <c r="G750" s="3">
        <v>45049</v>
      </c>
      <c r="H750" s="4" t="s">
        <v>776</v>
      </c>
      <c r="I750" s="4" t="s">
        <v>16</v>
      </c>
      <c r="J750" s="4">
        <v>42</v>
      </c>
      <c r="K750" s="4" t="str" cm="1">
        <f t="array" ref="K750">_xlfn.IFS(J750&lt;30, "Young Adult", J750&lt;50, "Adult", J750&gt;=50, "Senior")</f>
        <v>Adult</v>
      </c>
      <c r="L750" s="4" t="s">
        <v>17</v>
      </c>
      <c r="M750" s="4">
        <v>1</v>
      </c>
      <c r="N750" s="5">
        <v>30</v>
      </c>
      <c r="O750">
        <f>M750*N750</f>
        <v>30</v>
      </c>
      <c r="P750" s="14">
        <f>O750*$S$3</f>
        <v>0.44999999999999996</v>
      </c>
    </row>
    <row r="751" spans="1:16">
      <c r="A751" s="2">
        <v>750</v>
      </c>
      <c r="B751" s="4">
        <f>YEAR(G751)</f>
        <v>2023</v>
      </c>
      <c r="C751" s="4">
        <f>MONTH(G751)</f>
        <v>3</v>
      </c>
      <c r="D751" s="4">
        <f>DAY(G751)</f>
        <v>6</v>
      </c>
      <c r="E751" s="4" t="str">
        <f>TEXT(G751, "mmmm")</f>
        <v>March</v>
      </c>
      <c r="F751" s="4" t="str">
        <f>TEXT(G751, "dddd")</f>
        <v>Monday</v>
      </c>
      <c r="G751" s="3">
        <v>44991</v>
      </c>
      <c r="H751" s="4" t="s">
        <v>777</v>
      </c>
      <c r="I751" s="4" t="s">
        <v>20</v>
      </c>
      <c r="J751" s="4">
        <v>35</v>
      </c>
      <c r="K751" s="4" t="str" cm="1">
        <f t="array" ref="K751">_xlfn.IFS(J751&lt;30, "Young Adult", J751&lt;50, "Adult", J751&gt;=50, "Senior")</f>
        <v>Adult</v>
      </c>
      <c r="L751" s="4" t="s">
        <v>21</v>
      </c>
      <c r="M751" s="4">
        <v>3</v>
      </c>
      <c r="N751" s="5">
        <v>25</v>
      </c>
      <c r="O751">
        <f>M751*N751</f>
        <v>75</v>
      </c>
      <c r="P751" s="14">
        <f>O751*$S$3</f>
        <v>1.125</v>
      </c>
    </row>
    <row r="752" spans="1:16">
      <c r="A752" s="2">
        <v>751</v>
      </c>
      <c r="B752" s="4">
        <f>YEAR(G752)</f>
        <v>2023</v>
      </c>
      <c r="C752" s="4">
        <f>MONTH(G752)</f>
        <v>8</v>
      </c>
      <c r="D752" s="4">
        <f>DAY(G752)</f>
        <v>31</v>
      </c>
      <c r="E752" s="4" t="str">
        <f>TEXT(G752, "mmmm")</f>
        <v>August</v>
      </c>
      <c r="F752" s="4" t="str">
        <f>TEXT(G752, "dddd")</f>
        <v>Thursday</v>
      </c>
      <c r="G752" s="3">
        <v>45169</v>
      </c>
      <c r="H752" s="4" t="s">
        <v>778</v>
      </c>
      <c r="I752" s="4" t="s">
        <v>20</v>
      </c>
      <c r="J752" s="4">
        <v>42</v>
      </c>
      <c r="K752" s="4" t="str" cm="1">
        <f t="array" ref="K752">_xlfn.IFS(J752&lt;30, "Young Adult", J752&lt;50, "Adult", J752&gt;=50, "Senior")</f>
        <v>Adult</v>
      </c>
      <c r="L752" s="4" t="s">
        <v>21</v>
      </c>
      <c r="M752" s="4">
        <v>2</v>
      </c>
      <c r="N752" s="5">
        <v>25</v>
      </c>
      <c r="O752">
        <f>M752*N752</f>
        <v>50</v>
      </c>
      <c r="P752" s="14">
        <f>O752*$S$3</f>
        <v>0.75</v>
      </c>
    </row>
    <row r="753" spans="1:16">
      <c r="A753" s="2">
        <v>752</v>
      </c>
      <c r="B753" s="4">
        <f>YEAR(G753)</f>
        <v>2023</v>
      </c>
      <c r="C753" s="4">
        <f>MONTH(G753)</f>
        <v>12</v>
      </c>
      <c r="D753" s="4">
        <f>DAY(G753)</f>
        <v>9</v>
      </c>
      <c r="E753" s="4" t="str">
        <f>TEXT(G753, "mmmm")</f>
        <v>December</v>
      </c>
      <c r="F753" s="4" t="str">
        <f>TEXT(G753, "dddd")</f>
        <v>Saturday</v>
      </c>
      <c r="G753" s="3">
        <v>45269</v>
      </c>
      <c r="H753" s="4" t="s">
        <v>779</v>
      </c>
      <c r="I753" s="4" t="s">
        <v>16</v>
      </c>
      <c r="J753" s="4">
        <v>29</v>
      </c>
      <c r="K753" s="4" t="str" cm="1">
        <f t="array" ref="K753">_xlfn.IFS(J753&lt;30, "Young Adult", J753&lt;50, "Adult", J753&gt;=50, "Senior")</f>
        <v>Young Adult</v>
      </c>
      <c r="L753" s="4" t="s">
        <v>21</v>
      </c>
      <c r="M753" s="4">
        <v>2</v>
      </c>
      <c r="N753" s="5">
        <v>50</v>
      </c>
      <c r="O753">
        <f>M753*N753</f>
        <v>100</v>
      </c>
      <c r="P753" s="14">
        <f>O753*$S$3</f>
        <v>1.5</v>
      </c>
    </row>
    <row r="754" spans="1:16">
      <c r="A754" s="2">
        <v>753</v>
      </c>
      <c r="B754" s="4">
        <f>YEAR(G754)</f>
        <v>2023</v>
      </c>
      <c r="C754" s="4">
        <f>MONTH(G754)</f>
        <v>2</v>
      </c>
      <c r="D754" s="4">
        <f>DAY(G754)</f>
        <v>28</v>
      </c>
      <c r="E754" s="4" t="str">
        <f>TEXT(G754, "mmmm")</f>
        <v>February</v>
      </c>
      <c r="F754" s="4" t="str">
        <f>TEXT(G754, "dddd")</f>
        <v>Tuesday</v>
      </c>
      <c r="G754" s="3">
        <v>44985</v>
      </c>
      <c r="H754" s="4" t="s">
        <v>780</v>
      </c>
      <c r="I754" s="4" t="s">
        <v>20</v>
      </c>
      <c r="J754" s="4">
        <v>32</v>
      </c>
      <c r="K754" s="4" t="str" cm="1">
        <f t="array" ref="K754">_xlfn.IFS(J754&lt;30, "Young Adult", J754&lt;50, "Adult", J754&gt;=50, "Senior")</f>
        <v>Adult</v>
      </c>
      <c r="L754" s="4" t="s">
        <v>21</v>
      </c>
      <c r="M754" s="4">
        <v>1</v>
      </c>
      <c r="N754" s="5">
        <v>30</v>
      </c>
      <c r="O754">
        <f>M754*N754</f>
        <v>30</v>
      </c>
      <c r="P754" s="14">
        <f>O754*$S$3</f>
        <v>0.44999999999999996</v>
      </c>
    </row>
    <row r="755" spans="1:16">
      <c r="A755" s="2">
        <v>754</v>
      </c>
      <c r="B755" s="4">
        <f>YEAR(G755)</f>
        <v>2023</v>
      </c>
      <c r="C755" s="4">
        <f>MONTH(G755)</f>
        <v>10</v>
      </c>
      <c r="D755" s="4">
        <f>DAY(G755)</f>
        <v>16</v>
      </c>
      <c r="E755" s="4" t="str">
        <f>TEXT(G755, "mmmm")</f>
        <v>October</v>
      </c>
      <c r="F755" s="4" t="str">
        <f>TEXT(G755, "dddd")</f>
        <v>Monday</v>
      </c>
      <c r="G755" s="3">
        <v>45215</v>
      </c>
      <c r="H755" s="4" t="s">
        <v>781</v>
      </c>
      <c r="I755" s="4" t="s">
        <v>20</v>
      </c>
      <c r="J755" s="4">
        <v>43</v>
      </c>
      <c r="K755" s="4" t="str" cm="1">
        <f t="array" ref="K755">_xlfn.IFS(J755&lt;30, "Young Adult", J755&lt;50, "Adult", J755&gt;=50, "Senior")</f>
        <v>Adult</v>
      </c>
      <c r="L755" s="4" t="s">
        <v>24</v>
      </c>
      <c r="M755" s="4">
        <v>4</v>
      </c>
      <c r="N755" s="5">
        <v>25</v>
      </c>
      <c r="O755">
        <f>M755*N755</f>
        <v>100</v>
      </c>
      <c r="P755" s="14">
        <f>O755*$S$3</f>
        <v>1.5</v>
      </c>
    </row>
    <row r="756" spans="1:16">
      <c r="A756" s="2">
        <v>755</v>
      </c>
      <c r="B756" s="4">
        <f>YEAR(G756)</f>
        <v>2023</v>
      </c>
      <c r="C756" s="4">
        <f>MONTH(G756)</f>
        <v>4</v>
      </c>
      <c r="D756" s="4">
        <f>DAY(G756)</f>
        <v>22</v>
      </c>
      <c r="E756" s="4" t="str">
        <f>TEXT(G756, "mmmm")</f>
        <v>April</v>
      </c>
      <c r="F756" s="4" t="str">
        <f>TEXT(G756, "dddd")</f>
        <v>Saturday</v>
      </c>
      <c r="G756" s="3">
        <v>45038</v>
      </c>
      <c r="H756" s="4" t="s">
        <v>782</v>
      </c>
      <c r="I756" s="4" t="s">
        <v>20</v>
      </c>
      <c r="J756" s="4">
        <v>58</v>
      </c>
      <c r="K756" s="4" t="str" cm="1">
        <f t="array" ref="K756">_xlfn.IFS(J756&lt;30, "Young Adult", J756&lt;50, "Adult", J756&gt;=50, "Senior")</f>
        <v>Senior</v>
      </c>
      <c r="L756" s="4" t="s">
        <v>21</v>
      </c>
      <c r="M756" s="4">
        <v>3</v>
      </c>
      <c r="N756" s="5">
        <v>25</v>
      </c>
      <c r="O756">
        <f>M756*N756</f>
        <v>75</v>
      </c>
      <c r="P756" s="14">
        <f>O756*$S$3</f>
        <v>1.125</v>
      </c>
    </row>
    <row r="757" spans="1:16">
      <c r="A757" s="2">
        <v>756</v>
      </c>
      <c r="B757" s="4">
        <f>YEAR(G757)</f>
        <v>2023</v>
      </c>
      <c r="C757" s="4">
        <f>MONTH(G757)</f>
        <v>8</v>
      </c>
      <c r="D757" s="4">
        <f>DAY(G757)</f>
        <v>27</v>
      </c>
      <c r="E757" s="4" t="str">
        <f>TEXT(G757, "mmmm")</f>
        <v>August</v>
      </c>
      <c r="F757" s="4" t="str">
        <f>TEXT(G757, "dddd")</f>
        <v>Sunday</v>
      </c>
      <c r="G757" s="3">
        <v>45165</v>
      </c>
      <c r="H757" s="4" t="s">
        <v>783</v>
      </c>
      <c r="I757" s="4" t="s">
        <v>20</v>
      </c>
      <c r="J757" s="4">
        <v>62</v>
      </c>
      <c r="K757" s="4" t="str" cm="1">
        <f t="array" ref="K757">_xlfn.IFS(J757&lt;30, "Young Adult", J757&lt;50, "Adult", J757&gt;=50, "Senior")</f>
        <v>Senior</v>
      </c>
      <c r="L757" s="4" t="s">
        <v>24</v>
      </c>
      <c r="M757" s="4">
        <v>4</v>
      </c>
      <c r="N757" s="5">
        <v>300</v>
      </c>
      <c r="O757">
        <f>M757*N757</f>
        <v>1200</v>
      </c>
      <c r="P757" s="14">
        <f>O757*$S$3</f>
        <v>18</v>
      </c>
    </row>
    <row r="758" spans="1:16">
      <c r="A758" s="2">
        <v>757</v>
      </c>
      <c r="B758" s="4">
        <f>YEAR(G758)</f>
        <v>2023</v>
      </c>
      <c r="C758" s="4">
        <f>MONTH(G758)</f>
        <v>12</v>
      </c>
      <c r="D758" s="4">
        <f>DAY(G758)</f>
        <v>25</v>
      </c>
      <c r="E758" s="4" t="str">
        <f>TEXT(G758, "mmmm")</f>
        <v>December</v>
      </c>
      <c r="F758" s="4" t="str">
        <f>TEXT(G758, "dddd")</f>
        <v>Monday</v>
      </c>
      <c r="G758" s="3">
        <v>45285</v>
      </c>
      <c r="H758" s="4" t="s">
        <v>784</v>
      </c>
      <c r="I758" s="4" t="s">
        <v>20</v>
      </c>
      <c r="J758" s="4">
        <v>43</v>
      </c>
      <c r="K758" s="4" t="str" cm="1">
        <f t="array" ref="K758">_xlfn.IFS(J758&lt;30, "Young Adult", J758&lt;50, "Adult", J758&gt;=50, "Senior")</f>
        <v>Adult</v>
      </c>
      <c r="L758" s="4" t="s">
        <v>24</v>
      </c>
      <c r="M758" s="4">
        <v>4</v>
      </c>
      <c r="N758" s="5">
        <v>300</v>
      </c>
      <c r="O758">
        <f>M758*N758</f>
        <v>1200</v>
      </c>
      <c r="P758" s="14">
        <f>O758*$S$3</f>
        <v>18</v>
      </c>
    </row>
    <row r="759" spans="1:16">
      <c r="A759" s="2">
        <v>758</v>
      </c>
      <c r="B759" s="4">
        <f>YEAR(G759)</f>
        <v>2023</v>
      </c>
      <c r="C759" s="4">
        <f>MONTH(G759)</f>
        <v>5</v>
      </c>
      <c r="D759" s="4">
        <f>DAY(G759)</f>
        <v>12</v>
      </c>
      <c r="E759" s="4" t="str">
        <f>TEXT(G759, "mmmm")</f>
        <v>May</v>
      </c>
      <c r="F759" s="4" t="str">
        <f>TEXT(G759, "dddd")</f>
        <v>Friday</v>
      </c>
      <c r="G759" s="3">
        <v>45058</v>
      </c>
      <c r="H759" s="4" t="s">
        <v>785</v>
      </c>
      <c r="I759" s="4" t="s">
        <v>16</v>
      </c>
      <c r="J759" s="4">
        <v>64</v>
      </c>
      <c r="K759" s="4" t="str" cm="1">
        <f t="array" ref="K759">_xlfn.IFS(J759&lt;30, "Young Adult", J759&lt;50, "Adult", J759&gt;=50, "Senior")</f>
        <v>Senior</v>
      </c>
      <c r="L759" s="4" t="s">
        <v>21</v>
      </c>
      <c r="M759" s="4">
        <v>4</v>
      </c>
      <c r="N759" s="5">
        <v>25</v>
      </c>
      <c r="O759">
        <f>M759*N759</f>
        <v>100</v>
      </c>
      <c r="P759" s="14">
        <f>O759*$S$3</f>
        <v>1.5</v>
      </c>
    </row>
    <row r="760" spans="1:16">
      <c r="A760" s="2">
        <v>759</v>
      </c>
      <c r="B760" s="4">
        <f>YEAR(G760)</f>
        <v>2023</v>
      </c>
      <c r="C760" s="4">
        <f>MONTH(G760)</f>
        <v>7</v>
      </c>
      <c r="D760" s="4">
        <f>DAY(G760)</f>
        <v>8</v>
      </c>
      <c r="E760" s="4" t="str">
        <f>TEXT(G760, "mmmm")</f>
        <v>July</v>
      </c>
      <c r="F760" s="4" t="str">
        <f>TEXT(G760, "dddd")</f>
        <v>Saturday</v>
      </c>
      <c r="G760" s="3">
        <v>45115</v>
      </c>
      <c r="H760" s="4" t="s">
        <v>786</v>
      </c>
      <c r="I760" s="4" t="s">
        <v>16</v>
      </c>
      <c r="J760" s="4">
        <v>49</v>
      </c>
      <c r="K760" s="4" t="str" cm="1">
        <f t="array" ref="K760">_xlfn.IFS(J760&lt;30, "Young Adult", J760&lt;50, "Adult", J760&gt;=50, "Senior")</f>
        <v>Adult</v>
      </c>
      <c r="L760" s="4" t="s">
        <v>24</v>
      </c>
      <c r="M760" s="4">
        <v>2</v>
      </c>
      <c r="N760" s="5">
        <v>50</v>
      </c>
      <c r="O760">
        <f>M760*N760</f>
        <v>100</v>
      </c>
      <c r="P760" s="14">
        <f>O760*$S$3</f>
        <v>1.5</v>
      </c>
    </row>
    <row r="761" spans="1:16">
      <c r="A761" s="2">
        <v>760</v>
      </c>
      <c r="B761" s="4">
        <f>YEAR(G761)</f>
        <v>2023</v>
      </c>
      <c r="C761" s="4">
        <f>MONTH(G761)</f>
        <v>3</v>
      </c>
      <c r="D761" s="4">
        <f>DAY(G761)</f>
        <v>27</v>
      </c>
      <c r="E761" s="4" t="str">
        <f>TEXT(G761, "mmmm")</f>
        <v>March</v>
      </c>
      <c r="F761" s="4" t="str">
        <f>TEXT(G761, "dddd")</f>
        <v>Monday</v>
      </c>
      <c r="G761" s="3">
        <v>45012</v>
      </c>
      <c r="H761" s="4" t="s">
        <v>787</v>
      </c>
      <c r="I761" s="4" t="s">
        <v>16</v>
      </c>
      <c r="J761" s="4">
        <v>27</v>
      </c>
      <c r="K761" s="4" t="str" cm="1">
        <f t="array" ref="K761">_xlfn.IFS(J761&lt;30, "Young Adult", J761&lt;50, "Adult", J761&gt;=50, "Senior")</f>
        <v>Young Adult</v>
      </c>
      <c r="L761" s="4" t="s">
        <v>17</v>
      </c>
      <c r="M761" s="4">
        <v>1</v>
      </c>
      <c r="N761" s="5">
        <v>500</v>
      </c>
      <c r="O761">
        <f>M761*N761</f>
        <v>500</v>
      </c>
      <c r="P761" s="14">
        <f>O761*$S$3</f>
        <v>7.5</v>
      </c>
    </row>
    <row r="762" spans="1:16">
      <c r="A762" s="2">
        <v>761</v>
      </c>
      <c r="B762" s="4">
        <f>YEAR(G762)</f>
        <v>2023</v>
      </c>
      <c r="C762" s="4">
        <f>MONTH(G762)</f>
        <v>11</v>
      </c>
      <c r="D762" s="4">
        <f>DAY(G762)</f>
        <v>7</v>
      </c>
      <c r="E762" s="4" t="str">
        <f>TEXT(G762, "mmmm")</f>
        <v>November</v>
      </c>
      <c r="F762" s="4" t="str">
        <f>TEXT(G762, "dddd")</f>
        <v>Tuesday</v>
      </c>
      <c r="G762" s="3">
        <v>45237</v>
      </c>
      <c r="H762" s="4" t="s">
        <v>788</v>
      </c>
      <c r="I762" s="4" t="s">
        <v>20</v>
      </c>
      <c r="J762" s="4">
        <v>33</v>
      </c>
      <c r="K762" s="4" t="str" cm="1">
        <f t="array" ref="K762">_xlfn.IFS(J762&lt;30, "Young Adult", J762&lt;50, "Adult", J762&gt;=50, "Senior")</f>
        <v>Adult</v>
      </c>
      <c r="L762" s="4" t="s">
        <v>21</v>
      </c>
      <c r="M762" s="4">
        <v>1</v>
      </c>
      <c r="N762" s="5">
        <v>500</v>
      </c>
      <c r="O762">
        <f>M762*N762</f>
        <v>500</v>
      </c>
      <c r="P762" s="14">
        <f>O762*$S$3</f>
        <v>7.5</v>
      </c>
    </row>
    <row r="763" spans="1:16">
      <c r="A763" s="2">
        <v>762</v>
      </c>
      <c r="B763" s="4">
        <f>YEAR(G763)</f>
        <v>2023</v>
      </c>
      <c r="C763" s="4">
        <f>MONTH(G763)</f>
        <v>11</v>
      </c>
      <c r="D763" s="4">
        <f>DAY(G763)</f>
        <v>7</v>
      </c>
      <c r="E763" s="4" t="str">
        <f>TEXT(G763, "mmmm")</f>
        <v>November</v>
      </c>
      <c r="F763" s="4" t="str">
        <f>TEXT(G763, "dddd")</f>
        <v>Tuesday</v>
      </c>
      <c r="G763" s="3">
        <v>45237</v>
      </c>
      <c r="H763" s="4" t="s">
        <v>789</v>
      </c>
      <c r="I763" s="4" t="s">
        <v>20</v>
      </c>
      <c r="J763" s="4">
        <v>24</v>
      </c>
      <c r="K763" s="4" t="str" cm="1">
        <f t="array" ref="K763">_xlfn.IFS(J763&lt;30, "Young Adult", J763&lt;50, "Adult", J763&gt;=50, "Senior")</f>
        <v>Young Adult</v>
      </c>
      <c r="L763" s="4" t="s">
        <v>24</v>
      </c>
      <c r="M763" s="4">
        <v>2</v>
      </c>
      <c r="N763" s="5">
        <v>25</v>
      </c>
      <c r="O763">
        <f>M763*N763</f>
        <v>50</v>
      </c>
      <c r="P763" s="14">
        <f>O763*$S$3</f>
        <v>0.75</v>
      </c>
    </row>
    <row r="764" spans="1:16">
      <c r="A764" s="2">
        <v>763</v>
      </c>
      <c r="B764" s="4">
        <f>YEAR(G764)</f>
        <v>2023</v>
      </c>
      <c r="C764" s="4">
        <f>MONTH(G764)</f>
        <v>2</v>
      </c>
      <c r="D764" s="4">
        <f>DAY(G764)</f>
        <v>28</v>
      </c>
      <c r="E764" s="4" t="str">
        <f>TEXT(G764, "mmmm")</f>
        <v>February</v>
      </c>
      <c r="F764" s="4" t="str">
        <f>TEXT(G764, "dddd")</f>
        <v>Tuesday</v>
      </c>
      <c r="G764" s="3">
        <v>44985</v>
      </c>
      <c r="H764" s="4" t="s">
        <v>790</v>
      </c>
      <c r="I764" s="4" t="s">
        <v>16</v>
      </c>
      <c r="J764" s="4">
        <v>34</v>
      </c>
      <c r="K764" s="4" t="str" cm="1">
        <f t="array" ref="K764">_xlfn.IFS(J764&lt;30, "Young Adult", J764&lt;50, "Adult", J764&gt;=50, "Senior")</f>
        <v>Adult</v>
      </c>
      <c r="L764" s="4" t="s">
        <v>21</v>
      </c>
      <c r="M764" s="4">
        <v>2</v>
      </c>
      <c r="N764" s="5">
        <v>25</v>
      </c>
      <c r="O764">
        <f>M764*N764</f>
        <v>50</v>
      </c>
      <c r="P764" s="14">
        <f>O764*$S$3</f>
        <v>0.75</v>
      </c>
    </row>
    <row r="765" spans="1:16">
      <c r="A765" s="2">
        <v>764</v>
      </c>
      <c r="B765" s="4">
        <f>YEAR(G765)</f>
        <v>2023</v>
      </c>
      <c r="C765" s="4">
        <f>MONTH(G765)</f>
        <v>3</v>
      </c>
      <c r="D765" s="4">
        <f>DAY(G765)</f>
        <v>25</v>
      </c>
      <c r="E765" s="4" t="str">
        <f>TEXT(G765, "mmmm")</f>
        <v>March</v>
      </c>
      <c r="F765" s="4" t="str">
        <f>TEXT(G765, "dddd")</f>
        <v>Saturday</v>
      </c>
      <c r="G765" s="3">
        <v>45010</v>
      </c>
      <c r="H765" s="4" t="s">
        <v>791</v>
      </c>
      <c r="I765" s="4" t="s">
        <v>20</v>
      </c>
      <c r="J765" s="4">
        <v>40</v>
      </c>
      <c r="K765" s="4" t="str" cm="1">
        <f t="array" ref="K765">_xlfn.IFS(J765&lt;30, "Young Adult", J765&lt;50, "Adult", J765&gt;=50, "Senior")</f>
        <v>Adult</v>
      </c>
      <c r="L765" s="4" t="s">
        <v>21</v>
      </c>
      <c r="M765" s="4">
        <v>1</v>
      </c>
      <c r="N765" s="5">
        <v>25</v>
      </c>
      <c r="O765">
        <f>M765*N765</f>
        <v>25</v>
      </c>
      <c r="P765" s="14">
        <f>O765*$S$3</f>
        <v>0.375</v>
      </c>
    </row>
    <row r="766" spans="1:16">
      <c r="A766" s="2">
        <v>765</v>
      </c>
      <c r="B766" s="4">
        <f>YEAR(G766)</f>
        <v>2023</v>
      </c>
      <c r="C766" s="4">
        <f>MONTH(G766)</f>
        <v>6</v>
      </c>
      <c r="D766" s="4">
        <f>DAY(G766)</f>
        <v>9</v>
      </c>
      <c r="E766" s="4" t="str">
        <f>TEXT(G766, "mmmm")</f>
        <v>June</v>
      </c>
      <c r="F766" s="4" t="str">
        <f>TEXT(G766, "dddd")</f>
        <v>Friday</v>
      </c>
      <c r="G766" s="3">
        <v>45086</v>
      </c>
      <c r="H766" s="4" t="s">
        <v>792</v>
      </c>
      <c r="I766" s="4" t="s">
        <v>16</v>
      </c>
      <c r="J766" s="4">
        <v>43</v>
      </c>
      <c r="K766" s="4" t="str" cm="1">
        <f t="array" ref="K766">_xlfn.IFS(J766&lt;30, "Young Adult", J766&lt;50, "Adult", J766&gt;=50, "Senior")</f>
        <v>Adult</v>
      </c>
      <c r="L766" s="4" t="s">
        <v>21</v>
      </c>
      <c r="M766" s="4">
        <v>4</v>
      </c>
      <c r="N766" s="5">
        <v>50</v>
      </c>
      <c r="O766">
        <f>M766*N766</f>
        <v>200</v>
      </c>
      <c r="P766" s="14">
        <f>O766*$S$3</f>
        <v>3</v>
      </c>
    </row>
    <row r="767" spans="1:16">
      <c r="A767" s="2">
        <v>766</v>
      </c>
      <c r="B767" s="4">
        <f>YEAR(G767)</f>
        <v>2023</v>
      </c>
      <c r="C767" s="4">
        <f>MONTH(G767)</f>
        <v>2</v>
      </c>
      <c r="D767" s="4">
        <f>DAY(G767)</f>
        <v>25</v>
      </c>
      <c r="E767" s="4" t="str">
        <f>TEXT(G767, "mmmm")</f>
        <v>February</v>
      </c>
      <c r="F767" s="4" t="str">
        <f>TEXT(G767, "dddd")</f>
        <v>Saturday</v>
      </c>
      <c r="G767" s="3">
        <v>44982</v>
      </c>
      <c r="H767" s="4" t="s">
        <v>793</v>
      </c>
      <c r="I767" s="4" t="s">
        <v>16</v>
      </c>
      <c r="J767" s="4">
        <v>38</v>
      </c>
      <c r="K767" s="4" t="str" cm="1">
        <f t="array" ref="K767">_xlfn.IFS(J767&lt;30, "Young Adult", J767&lt;50, "Adult", J767&gt;=50, "Senior")</f>
        <v>Adult</v>
      </c>
      <c r="L767" s="4" t="s">
        <v>24</v>
      </c>
      <c r="M767" s="4">
        <v>3</v>
      </c>
      <c r="N767" s="5">
        <v>300</v>
      </c>
      <c r="O767">
        <f>M767*N767</f>
        <v>900</v>
      </c>
      <c r="P767" s="14">
        <f>O767*$S$3</f>
        <v>13.5</v>
      </c>
    </row>
    <row r="768" spans="1:16">
      <c r="A768" s="2">
        <v>767</v>
      </c>
      <c r="B768" s="4">
        <f>YEAR(G768)</f>
        <v>2023</v>
      </c>
      <c r="C768" s="4">
        <f>MONTH(G768)</f>
        <v>10</v>
      </c>
      <c r="D768" s="4">
        <f>DAY(G768)</f>
        <v>24</v>
      </c>
      <c r="E768" s="4" t="str">
        <f>TEXT(G768, "mmmm")</f>
        <v>October</v>
      </c>
      <c r="F768" s="4" t="str">
        <f>TEXT(G768, "dddd")</f>
        <v>Tuesday</v>
      </c>
      <c r="G768" s="3">
        <v>45223</v>
      </c>
      <c r="H768" s="4" t="s">
        <v>794</v>
      </c>
      <c r="I768" s="4" t="s">
        <v>16</v>
      </c>
      <c r="J768" s="4">
        <v>39</v>
      </c>
      <c r="K768" s="4" t="str" cm="1">
        <f t="array" ref="K768">_xlfn.IFS(J768&lt;30, "Young Adult", J768&lt;50, "Adult", J768&gt;=50, "Senior")</f>
        <v>Adult</v>
      </c>
      <c r="L768" s="4" t="s">
        <v>17</v>
      </c>
      <c r="M768" s="4">
        <v>3</v>
      </c>
      <c r="N768" s="5">
        <v>25</v>
      </c>
      <c r="O768">
        <f>M768*N768</f>
        <v>75</v>
      </c>
      <c r="P768" s="14">
        <f>O768*$S$3</f>
        <v>1.125</v>
      </c>
    </row>
    <row r="769" spans="1:16">
      <c r="A769" s="2">
        <v>768</v>
      </c>
      <c r="B769" s="4">
        <f>YEAR(G769)</f>
        <v>2023</v>
      </c>
      <c r="C769" s="4">
        <f>MONTH(G769)</f>
        <v>1</v>
      </c>
      <c r="D769" s="4">
        <f>DAY(G769)</f>
        <v>14</v>
      </c>
      <c r="E769" s="4" t="str">
        <f>TEXT(G769, "mmmm")</f>
        <v>January</v>
      </c>
      <c r="F769" s="4" t="str">
        <f>TEXT(G769, "dddd")</f>
        <v>Saturday</v>
      </c>
      <c r="G769" s="3">
        <v>44940</v>
      </c>
      <c r="H769" s="4" t="s">
        <v>795</v>
      </c>
      <c r="I769" s="4" t="s">
        <v>20</v>
      </c>
      <c r="J769" s="4">
        <v>24</v>
      </c>
      <c r="K769" s="4" t="str" cm="1">
        <f t="array" ref="K769">_xlfn.IFS(J769&lt;30, "Young Adult", J769&lt;50, "Adult", J769&gt;=50, "Senior")</f>
        <v>Young Adult</v>
      </c>
      <c r="L769" s="4" t="s">
        <v>17</v>
      </c>
      <c r="M769" s="4">
        <v>3</v>
      </c>
      <c r="N769" s="5">
        <v>25</v>
      </c>
      <c r="O769">
        <f>M769*N769</f>
        <v>75</v>
      </c>
      <c r="P769" s="14">
        <f>O769*$S$3</f>
        <v>1.125</v>
      </c>
    </row>
    <row r="770" spans="1:16">
      <c r="A770" s="2">
        <v>769</v>
      </c>
      <c r="B770" s="4">
        <f>YEAR(G770)</f>
        <v>2023</v>
      </c>
      <c r="C770" s="4">
        <f>MONTH(G770)</f>
        <v>6</v>
      </c>
      <c r="D770" s="4">
        <f>DAY(G770)</f>
        <v>9</v>
      </c>
      <c r="E770" s="4" t="str">
        <f>TEXT(G770, "mmmm")</f>
        <v>June</v>
      </c>
      <c r="F770" s="4" t="str">
        <f>TEXT(G770, "dddd")</f>
        <v>Friday</v>
      </c>
      <c r="G770" s="3">
        <v>45086</v>
      </c>
      <c r="H770" s="4" t="s">
        <v>796</v>
      </c>
      <c r="I770" s="4" t="s">
        <v>20</v>
      </c>
      <c r="J770" s="4">
        <v>31</v>
      </c>
      <c r="K770" s="4" t="str" cm="1">
        <f t="array" ref="K770">_xlfn.IFS(J770&lt;30, "Young Adult", J770&lt;50, "Adult", J770&gt;=50, "Senior")</f>
        <v>Adult</v>
      </c>
      <c r="L770" s="4" t="s">
        <v>24</v>
      </c>
      <c r="M770" s="4">
        <v>4</v>
      </c>
      <c r="N770" s="5">
        <v>30</v>
      </c>
      <c r="O770">
        <f>M770*N770</f>
        <v>120</v>
      </c>
      <c r="P770" s="14">
        <f>O770*$S$3</f>
        <v>1.7999999999999998</v>
      </c>
    </row>
    <row r="771" spans="1:16">
      <c r="A771" s="2">
        <v>770</v>
      </c>
      <c r="B771" s="4">
        <f>YEAR(G771)</f>
        <v>2023</v>
      </c>
      <c r="C771" s="4">
        <f>MONTH(G771)</f>
        <v>10</v>
      </c>
      <c r="D771" s="4">
        <f>DAY(G771)</f>
        <v>22</v>
      </c>
      <c r="E771" s="4" t="str">
        <f>TEXT(G771, "mmmm")</f>
        <v>October</v>
      </c>
      <c r="F771" s="4" t="str">
        <f>TEXT(G771, "dddd")</f>
        <v>Sunday</v>
      </c>
      <c r="G771" s="3">
        <v>45221</v>
      </c>
      <c r="H771" s="4" t="s">
        <v>797</v>
      </c>
      <c r="I771" s="4" t="s">
        <v>16</v>
      </c>
      <c r="J771" s="4">
        <v>32</v>
      </c>
      <c r="K771" s="4" t="str" cm="1">
        <f t="array" ref="K771">_xlfn.IFS(J771&lt;30, "Young Adult", J771&lt;50, "Adult", J771&gt;=50, "Senior")</f>
        <v>Adult</v>
      </c>
      <c r="L771" s="4" t="s">
        <v>21</v>
      </c>
      <c r="M771" s="4">
        <v>1</v>
      </c>
      <c r="N771" s="5">
        <v>50</v>
      </c>
      <c r="O771">
        <f>M771*N771</f>
        <v>50</v>
      </c>
      <c r="P771" s="14">
        <f>O771*$S$3</f>
        <v>0.75</v>
      </c>
    </row>
    <row r="772" spans="1:16">
      <c r="A772" s="2">
        <v>771</v>
      </c>
      <c r="B772" s="4">
        <f>YEAR(G772)</f>
        <v>2023</v>
      </c>
      <c r="C772" s="4">
        <f>MONTH(G772)</f>
        <v>12</v>
      </c>
      <c r="D772" s="4">
        <f>DAY(G772)</f>
        <v>13</v>
      </c>
      <c r="E772" s="4" t="str">
        <f>TEXT(G772, "mmmm")</f>
        <v>December</v>
      </c>
      <c r="F772" s="4" t="str">
        <f>TEXT(G772, "dddd")</f>
        <v>Wednesday</v>
      </c>
      <c r="G772" s="3">
        <v>45273</v>
      </c>
      <c r="H772" s="4" t="s">
        <v>798</v>
      </c>
      <c r="I772" s="4" t="s">
        <v>16</v>
      </c>
      <c r="J772" s="4">
        <v>24</v>
      </c>
      <c r="K772" s="4" t="str" cm="1">
        <f t="array" ref="K772">_xlfn.IFS(J772&lt;30, "Young Adult", J772&lt;50, "Adult", J772&gt;=50, "Senior")</f>
        <v>Young Adult</v>
      </c>
      <c r="L772" s="4" t="s">
        <v>24</v>
      </c>
      <c r="M772" s="4">
        <v>2</v>
      </c>
      <c r="N772" s="5">
        <v>25</v>
      </c>
      <c r="O772">
        <f>M772*N772</f>
        <v>50</v>
      </c>
      <c r="P772" s="14">
        <f>O772*$S$3</f>
        <v>0.75</v>
      </c>
    </row>
    <row r="773" spans="1:16">
      <c r="A773" s="2">
        <v>772</v>
      </c>
      <c r="B773" s="4">
        <f>YEAR(G773)</f>
        <v>2023</v>
      </c>
      <c r="C773" s="4">
        <f>MONTH(G773)</f>
        <v>7</v>
      </c>
      <c r="D773" s="4">
        <f>DAY(G773)</f>
        <v>12</v>
      </c>
      <c r="E773" s="4" t="str">
        <f>TEXT(G773, "mmmm")</f>
        <v>July</v>
      </c>
      <c r="F773" s="4" t="str">
        <f>TEXT(G773, "dddd")</f>
        <v>Wednesday</v>
      </c>
      <c r="G773" s="3">
        <v>45119</v>
      </c>
      <c r="H773" s="4" t="s">
        <v>799</v>
      </c>
      <c r="I773" s="4" t="s">
        <v>16</v>
      </c>
      <c r="J773" s="4">
        <v>26</v>
      </c>
      <c r="K773" s="4" t="str" cm="1">
        <f t="array" ref="K773">_xlfn.IFS(J773&lt;30, "Young Adult", J773&lt;50, "Adult", J773&gt;=50, "Senior")</f>
        <v>Young Adult</v>
      </c>
      <c r="L773" s="4" t="s">
        <v>24</v>
      </c>
      <c r="M773" s="4">
        <v>1</v>
      </c>
      <c r="N773" s="5">
        <v>30</v>
      </c>
      <c r="O773">
        <f>M773*N773</f>
        <v>30</v>
      </c>
      <c r="P773" s="14">
        <f>O773*$S$3</f>
        <v>0.44999999999999996</v>
      </c>
    </row>
    <row r="774" spans="1:16">
      <c r="A774" s="2">
        <v>773</v>
      </c>
      <c r="B774" s="4">
        <f>YEAR(G774)</f>
        <v>2023</v>
      </c>
      <c r="C774" s="4">
        <f>MONTH(G774)</f>
        <v>7</v>
      </c>
      <c r="D774" s="4">
        <f>DAY(G774)</f>
        <v>23</v>
      </c>
      <c r="E774" s="4" t="str">
        <f>TEXT(G774, "mmmm")</f>
        <v>July</v>
      </c>
      <c r="F774" s="4" t="str">
        <f>TEXT(G774, "dddd")</f>
        <v>Sunday</v>
      </c>
      <c r="G774" s="3">
        <v>45130</v>
      </c>
      <c r="H774" s="4" t="s">
        <v>800</v>
      </c>
      <c r="I774" s="4" t="s">
        <v>16</v>
      </c>
      <c r="J774" s="4">
        <v>25</v>
      </c>
      <c r="K774" s="4" t="str" cm="1">
        <f t="array" ref="K774">_xlfn.IFS(J774&lt;30, "Young Adult", J774&lt;50, "Adult", J774&gt;=50, "Senior")</f>
        <v>Young Adult</v>
      </c>
      <c r="L774" s="4" t="s">
        <v>24</v>
      </c>
      <c r="M774" s="4">
        <v>4</v>
      </c>
      <c r="N774" s="5">
        <v>500</v>
      </c>
      <c r="O774">
        <f>M774*N774</f>
        <v>2000</v>
      </c>
      <c r="P774" s="14">
        <f>O774*$S$3</f>
        <v>30</v>
      </c>
    </row>
    <row r="775" spans="1:16">
      <c r="A775" s="2">
        <v>774</v>
      </c>
      <c r="B775" s="4">
        <f>YEAR(G775)</f>
        <v>2023</v>
      </c>
      <c r="C775" s="4">
        <f>MONTH(G775)</f>
        <v>4</v>
      </c>
      <c r="D775" s="4">
        <f>DAY(G775)</f>
        <v>12</v>
      </c>
      <c r="E775" s="4" t="str">
        <f>TEXT(G775, "mmmm")</f>
        <v>April</v>
      </c>
      <c r="F775" s="4" t="str">
        <f>TEXT(G775, "dddd")</f>
        <v>Wednesday</v>
      </c>
      <c r="G775" s="3">
        <v>45028</v>
      </c>
      <c r="H775" s="4" t="s">
        <v>801</v>
      </c>
      <c r="I775" s="4" t="s">
        <v>20</v>
      </c>
      <c r="J775" s="4">
        <v>40</v>
      </c>
      <c r="K775" s="4" t="str" cm="1">
        <f t="array" ref="K775">_xlfn.IFS(J775&lt;30, "Young Adult", J775&lt;50, "Adult", J775&gt;=50, "Senior")</f>
        <v>Adult</v>
      </c>
      <c r="L775" s="4" t="s">
        <v>21</v>
      </c>
      <c r="M775" s="4">
        <v>2</v>
      </c>
      <c r="N775" s="5">
        <v>25</v>
      </c>
      <c r="O775">
        <f>M775*N775</f>
        <v>50</v>
      </c>
      <c r="P775" s="14">
        <f>O775*$S$3</f>
        <v>0.75</v>
      </c>
    </row>
    <row r="776" spans="1:16">
      <c r="A776" s="2">
        <v>775</v>
      </c>
      <c r="B776" s="4">
        <f>YEAR(G776)</f>
        <v>2023</v>
      </c>
      <c r="C776" s="4">
        <f>MONTH(G776)</f>
        <v>2</v>
      </c>
      <c r="D776" s="4">
        <f>DAY(G776)</f>
        <v>8</v>
      </c>
      <c r="E776" s="4" t="str">
        <f>TEXT(G776, "mmmm")</f>
        <v>February</v>
      </c>
      <c r="F776" s="4" t="str">
        <f>TEXT(G776, "dddd")</f>
        <v>Wednesday</v>
      </c>
      <c r="G776" s="3">
        <v>44965</v>
      </c>
      <c r="H776" s="4" t="s">
        <v>802</v>
      </c>
      <c r="I776" s="4" t="s">
        <v>20</v>
      </c>
      <c r="J776" s="4">
        <v>46</v>
      </c>
      <c r="K776" s="4" t="str" cm="1">
        <f t="array" ref="K776">_xlfn.IFS(J776&lt;30, "Young Adult", J776&lt;50, "Adult", J776&gt;=50, "Senior")</f>
        <v>Adult</v>
      </c>
      <c r="L776" s="4" t="s">
        <v>24</v>
      </c>
      <c r="M776" s="4">
        <v>4</v>
      </c>
      <c r="N776" s="5">
        <v>25</v>
      </c>
      <c r="O776">
        <f>M776*N776</f>
        <v>100</v>
      </c>
      <c r="P776" s="14">
        <f>O776*$S$3</f>
        <v>1.5</v>
      </c>
    </row>
    <row r="777" spans="1:16">
      <c r="A777" s="2">
        <v>776</v>
      </c>
      <c r="B777" s="4">
        <f>YEAR(G777)</f>
        <v>2023</v>
      </c>
      <c r="C777" s="4">
        <f>MONTH(G777)</f>
        <v>10</v>
      </c>
      <c r="D777" s="4">
        <f>DAY(G777)</f>
        <v>31</v>
      </c>
      <c r="E777" s="4" t="str">
        <f>TEXT(G777, "mmmm")</f>
        <v>October</v>
      </c>
      <c r="F777" s="4" t="str">
        <f>TEXT(G777, "dddd")</f>
        <v>Tuesday</v>
      </c>
      <c r="G777" s="3">
        <v>45230</v>
      </c>
      <c r="H777" s="4" t="s">
        <v>803</v>
      </c>
      <c r="I777" s="4" t="s">
        <v>16</v>
      </c>
      <c r="J777" s="4">
        <v>35</v>
      </c>
      <c r="K777" s="4" t="str" cm="1">
        <f t="array" ref="K777">_xlfn.IFS(J777&lt;30, "Young Adult", J777&lt;50, "Adult", J777&gt;=50, "Senior")</f>
        <v>Adult</v>
      </c>
      <c r="L777" s="4" t="s">
        <v>21</v>
      </c>
      <c r="M777" s="4">
        <v>3</v>
      </c>
      <c r="N777" s="5">
        <v>30</v>
      </c>
      <c r="O777">
        <f>M777*N777</f>
        <v>90</v>
      </c>
      <c r="P777" s="14">
        <f>O777*$S$3</f>
        <v>1.3499999999999999</v>
      </c>
    </row>
    <row r="778" spans="1:16">
      <c r="A778" s="2">
        <v>777</v>
      </c>
      <c r="B778" s="4">
        <f>YEAR(G778)</f>
        <v>2023</v>
      </c>
      <c r="C778" s="4">
        <f>MONTH(G778)</f>
        <v>12</v>
      </c>
      <c r="D778" s="4">
        <f>DAY(G778)</f>
        <v>20</v>
      </c>
      <c r="E778" s="4" t="str">
        <f>TEXT(G778, "mmmm")</f>
        <v>December</v>
      </c>
      <c r="F778" s="4" t="str">
        <f>TEXT(G778, "dddd")</f>
        <v>Wednesday</v>
      </c>
      <c r="G778" s="3">
        <v>45280</v>
      </c>
      <c r="H778" s="4" t="s">
        <v>804</v>
      </c>
      <c r="I778" s="4" t="s">
        <v>16</v>
      </c>
      <c r="J778" s="4">
        <v>48</v>
      </c>
      <c r="K778" s="4" t="str" cm="1">
        <f t="array" ref="K778">_xlfn.IFS(J778&lt;30, "Young Adult", J778&lt;50, "Adult", J778&gt;=50, "Senior")</f>
        <v>Adult</v>
      </c>
      <c r="L778" s="4" t="s">
        <v>24</v>
      </c>
      <c r="M778" s="4">
        <v>3</v>
      </c>
      <c r="N778" s="5">
        <v>50</v>
      </c>
      <c r="O778">
        <f>M778*N778</f>
        <v>150</v>
      </c>
      <c r="P778" s="14">
        <f>O778*$S$3</f>
        <v>2.25</v>
      </c>
    </row>
    <row r="779" spans="1:16">
      <c r="A779" s="2">
        <v>778</v>
      </c>
      <c r="B779" s="4">
        <f>YEAR(G779)</f>
        <v>2023</v>
      </c>
      <c r="C779" s="4">
        <f>MONTH(G779)</f>
        <v>11</v>
      </c>
      <c r="D779" s="4">
        <f>DAY(G779)</f>
        <v>18</v>
      </c>
      <c r="E779" s="4" t="str">
        <f>TEXT(G779, "mmmm")</f>
        <v>November</v>
      </c>
      <c r="F779" s="4" t="str">
        <f>TEXT(G779, "dddd")</f>
        <v>Saturday</v>
      </c>
      <c r="G779" s="3">
        <v>45248</v>
      </c>
      <c r="H779" s="4" t="s">
        <v>805</v>
      </c>
      <c r="I779" s="4" t="s">
        <v>20</v>
      </c>
      <c r="J779" s="4">
        <v>47</v>
      </c>
      <c r="K779" s="4" t="str" cm="1">
        <f t="array" ref="K779">_xlfn.IFS(J779&lt;30, "Young Adult", J779&lt;50, "Adult", J779&gt;=50, "Senior")</f>
        <v>Adult</v>
      </c>
      <c r="L779" s="4" t="s">
        <v>17</v>
      </c>
      <c r="M779" s="4">
        <v>4</v>
      </c>
      <c r="N779" s="5">
        <v>25</v>
      </c>
      <c r="O779">
        <f>M779*N779</f>
        <v>100</v>
      </c>
      <c r="P779" s="14">
        <f>O779*$S$3</f>
        <v>1.5</v>
      </c>
    </row>
    <row r="780" spans="1:16">
      <c r="A780" s="2">
        <v>779</v>
      </c>
      <c r="B780" s="4">
        <f>YEAR(G780)</f>
        <v>2023</v>
      </c>
      <c r="C780" s="4">
        <f>MONTH(G780)</f>
        <v>5</v>
      </c>
      <c r="D780" s="4">
        <f>DAY(G780)</f>
        <v>5</v>
      </c>
      <c r="E780" s="4" t="str">
        <f>TEXT(G780, "mmmm")</f>
        <v>May</v>
      </c>
      <c r="F780" s="4" t="str">
        <f>TEXT(G780, "dddd")</f>
        <v>Friday</v>
      </c>
      <c r="G780" s="3">
        <v>45051</v>
      </c>
      <c r="H780" s="4" t="s">
        <v>806</v>
      </c>
      <c r="I780" s="4" t="s">
        <v>20</v>
      </c>
      <c r="J780" s="4">
        <v>56</v>
      </c>
      <c r="K780" s="4" t="str" cm="1">
        <f t="array" ref="K780">_xlfn.IFS(J780&lt;30, "Young Adult", J780&lt;50, "Adult", J780&gt;=50, "Senior")</f>
        <v>Senior</v>
      </c>
      <c r="L780" s="4" t="s">
        <v>24</v>
      </c>
      <c r="M780" s="4">
        <v>2</v>
      </c>
      <c r="N780" s="5">
        <v>500</v>
      </c>
      <c r="O780">
        <f>M780*N780</f>
        <v>1000</v>
      </c>
      <c r="P780" s="14">
        <f>O780*$S$3</f>
        <v>15</v>
      </c>
    </row>
    <row r="781" spans="1:16">
      <c r="A781" s="2">
        <v>780</v>
      </c>
      <c r="B781" s="4">
        <f>YEAR(G781)</f>
        <v>2023</v>
      </c>
      <c r="C781" s="4">
        <f>MONTH(G781)</f>
        <v>2</v>
      </c>
      <c r="D781" s="4">
        <f>DAY(G781)</f>
        <v>22</v>
      </c>
      <c r="E781" s="4" t="str">
        <f>TEXT(G781, "mmmm")</f>
        <v>February</v>
      </c>
      <c r="F781" s="4" t="str">
        <f>TEXT(G781, "dddd")</f>
        <v>Wednesday</v>
      </c>
      <c r="G781" s="3">
        <v>44979</v>
      </c>
      <c r="H781" s="4" t="s">
        <v>807</v>
      </c>
      <c r="I781" s="4" t="s">
        <v>16</v>
      </c>
      <c r="J781" s="4">
        <v>52</v>
      </c>
      <c r="K781" s="4" t="str" cm="1">
        <f t="array" ref="K781">_xlfn.IFS(J781&lt;30, "Young Adult", J781&lt;50, "Adult", J781&gt;=50, "Senior")</f>
        <v>Senior</v>
      </c>
      <c r="L781" s="4" t="s">
        <v>24</v>
      </c>
      <c r="M781" s="4">
        <v>2</v>
      </c>
      <c r="N781" s="5">
        <v>25</v>
      </c>
      <c r="O781">
        <f>M781*N781</f>
        <v>50</v>
      </c>
      <c r="P781" s="14">
        <f>O781*$S$3</f>
        <v>0.75</v>
      </c>
    </row>
    <row r="782" spans="1:16">
      <c r="A782" s="2">
        <v>781</v>
      </c>
      <c r="B782" s="4">
        <f>YEAR(G782)</f>
        <v>2023</v>
      </c>
      <c r="C782" s="4">
        <f>MONTH(G782)</f>
        <v>12</v>
      </c>
      <c r="D782" s="4">
        <f>DAY(G782)</f>
        <v>23</v>
      </c>
      <c r="E782" s="4" t="str">
        <f>TEXT(G782, "mmmm")</f>
        <v>December</v>
      </c>
      <c r="F782" s="4" t="str">
        <f>TEXT(G782, "dddd")</f>
        <v>Saturday</v>
      </c>
      <c r="G782" s="3">
        <v>45283</v>
      </c>
      <c r="H782" s="4" t="s">
        <v>808</v>
      </c>
      <c r="I782" s="4" t="s">
        <v>16</v>
      </c>
      <c r="J782" s="4">
        <v>35</v>
      </c>
      <c r="K782" s="4" t="str" cm="1">
        <f t="array" ref="K782">_xlfn.IFS(J782&lt;30, "Young Adult", J782&lt;50, "Adult", J782&gt;=50, "Senior")</f>
        <v>Adult</v>
      </c>
      <c r="L782" s="4" t="s">
        <v>17</v>
      </c>
      <c r="M782" s="4">
        <v>1</v>
      </c>
      <c r="N782" s="5">
        <v>500</v>
      </c>
      <c r="O782">
        <f>M782*N782</f>
        <v>500</v>
      </c>
      <c r="P782" s="14">
        <f>O782*$S$3</f>
        <v>7.5</v>
      </c>
    </row>
    <row r="783" spans="1:16">
      <c r="A783" s="2">
        <v>782</v>
      </c>
      <c r="B783" s="4">
        <f>YEAR(G783)</f>
        <v>2023</v>
      </c>
      <c r="C783" s="4">
        <f>MONTH(G783)</f>
        <v>6</v>
      </c>
      <c r="D783" s="4">
        <f>DAY(G783)</f>
        <v>4</v>
      </c>
      <c r="E783" s="4" t="str">
        <f>TEXT(G783, "mmmm")</f>
        <v>June</v>
      </c>
      <c r="F783" s="4" t="str">
        <f>TEXT(G783, "dddd")</f>
        <v>Sunday</v>
      </c>
      <c r="G783" s="3">
        <v>45081</v>
      </c>
      <c r="H783" s="4" t="s">
        <v>809</v>
      </c>
      <c r="I783" s="4" t="s">
        <v>16</v>
      </c>
      <c r="J783" s="4">
        <v>59</v>
      </c>
      <c r="K783" s="4" t="str" cm="1">
        <f t="array" ref="K783">_xlfn.IFS(J783&lt;30, "Young Adult", J783&lt;50, "Adult", J783&gt;=50, "Senior")</f>
        <v>Senior</v>
      </c>
      <c r="L783" s="4" t="s">
        <v>21</v>
      </c>
      <c r="M783" s="4">
        <v>3</v>
      </c>
      <c r="N783" s="5">
        <v>300</v>
      </c>
      <c r="O783">
        <f>M783*N783</f>
        <v>900</v>
      </c>
      <c r="P783" s="14">
        <f>O783*$S$3</f>
        <v>13.5</v>
      </c>
    </row>
    <row r="784" spans="1:16">
      <c r="A784" s="2">
        <v>783</v>
      </c>
      <c r="B784" s="4">
        <f>YEAR(G784)</f>
        <v>2023</v>
      </c>
      <c r="C784" s="4">
        <f>MONTH(G784)</f>
        <v>12</v>
      </c>
      <c r="D784" s="4">
        <f>DAY(G784)</f>
        <v>17</v>
      </c>
      <c r="E784" s="4" t="str">
        <f>TEXT(G784, "mmmm")</f>
        <v>December</v>
      </c>
      <c r="F784" s="4" t="str">
        <f>TEXT(G784, "dddd")</f>
        <v>Sunday</v>
      </c>
      <c r="G784" s="3">
        <v>45277</v>
      </c>
      <c r="H784" s="4" t="s">
        <v>810</v>
      </c>
      <c r="I784" s="4" t="s">
        <v>20</v>
      </c>
      <c r="J784" s="4">
        <v>56</v>
      </c>
      <c r="K784" s="4" t="str" cm="1">
        <f t="array" ref="K784">_xlfn.IFS(J784&lt;30, "Young Adult", J784&lt;50, "Adult", J784&gt;=50, "Senior")</f>
        <v>Senior</v>
      </c>
      <c r="L784" s="4" t="s">
        <v>21</v>
      </c>
      <c r="M784" s="4">
        <v>1</v>
      </c>
      <c r="N784" s="5">
        <v>300</v>
      </c>
      <c r="O784">
        <f>M784*N784</f>
        <v>300</v>
      </c>
      <c r="P784" s="14">
        <f>O784*$S$3</f>
        <v>4.5</v>
      </c>
    </row>
    <row r="785" spans="1:16">
      <c r="A785" s="2">
        <v>784</v>
      </c>
      <c r="B785" s="4">
        <f>YEAR(G785)</f>
        <v>2023</v>
      </c>
      <c r="C785" s="4">
        <f>MONTH(G785)</f>
        <v>11</v>
      </c>
      <c r="D785" s="4">
        <f>DAY(G785)</f>
        <v>4</v>
      </c>
      <c r="E785" s="4" t="str">
        <f>TEXT(G785, "mmmm")</f>
        <v>November</v>
      </c>
      <c r="F785" s="4" t="str">
        <f>TEXT(G785, "dddd")</f>
        <v>Saturday</v>
      </c>
      <c r="G785" s="3">
        <v>45234</v>
      </c>
      <c r="H785" s="4" t="s">
        <v>811</v>
      </c>
      <c r="I785" s="4" t="s">
        <v>20</v>
      </c>
      <c r="J785" s="4">
        <v>34</v>
      </c>
      <c r="K785" s="4" t="str" cm="1">
        <f t="array" ref="K785">_xlfn.IFS(J785&lt;30, "Young Adult", J785&lt;50, "Adult", J785&gt;=50, "Senior")</f>
        <v>Adult</v>
      </c>
      <c r="L785" s="4" t="s">
        <v>24</v>
      </c>
      <c r="M785" s="4">
        <v>1</v>
      </c>
      <c r="N785" s="5">
        <v>500</v>
      </c>
      <c r="O785">
        <f>M785*N785</f>
        <v>500</v>
      </c>
      <c r="P785" s="14">
        <f>O785*$S$3</f>
        <v>7.5</v>
      </c>
    </row>
    <row r="786" spans="1:16">
      <c r="A786" s="2">
        <v>785</v>
      </c>
      <c r="B786" s="4">
        <f>YEAR(G786)</f>
        <v>2023</v>
      </c>
      <c r="C786" s="4">
        <f>MONTH(G786)</f>
        <v>3</v>
      </c>
      <c r="D786" s="4">
        <f>DAY(G786)</f>
        <v>3</v>
      </c>
      <c r="E786" s="4" t="str">
        <f>TEXT(G786, "mmmm")</f>
        <v>March</v>
      </c>
      <c r="F786" s="4" t="str">
        <f>TEXT(G786, "dddd")</f>
        <v>Friday</v>
      </c>
      <c r="G786" s="3">
        <v>44988</v>
      </c>
      <c r="H786" s="4" t="s">
        <v>812</v>
      </c>
      <c r="I786" s="4" t="s">
        <v>20</v>
      </c>
      <c r="J786" s="4">
        <v>31</v>
      </c>
      <c r="K786" s="4" t="str" cm="1">
        <f t="array" ref="K786">_xlfn.IFS(J786&lt;30, "Young Adult", J786&lt;50, "Adult", J786&gt;=50, "Senior")</f>
        <v>Adult</v>
      </c>
      <c r="L786" s="4" t="s">
        <v>17</v>
      </c>
      <c r="M786" s="4">
        <v>4</v>
      </c>
      <c r="N786" s="5">
        <v>50</v>
      </c>
      <c r="O786">
        <f>M786*N786</f>
        <v>200</v>
      </c>
      <c r="P786" s="14">
        <f>O786*$S$3</f>
        <v>3</v>
      </c>
    </row>
    <row r="787" spans="1:16">
      <c r="A787" s="2">
        <v>786</v>
      </c>
      <c r="B787" s="4">
        <f>YEAR(G787)</f>
        <v>2023</v>
      </c>
      <c r="C787" s="4">
        <f>MONTH(G787)</f>
        <v>10</v>
      </c>
      <c r="D787" s="4">
        <f>DAY(G787)</f>
        <v>17</v>
      </c>
      <c r="E787" s="4" t="str">
        <f>TEXT(G787, "mmmm")</f>
        <v>October</v>
      </c>
      <c r="F787" s="4" t="str">
        <f>TEXT(G787, "dddd")</f>
        <v>Tuesday</v>
      </c>
      <c r="G787" s="3">
        <v>45216</v>
      </c>
      <c r="H787" s="4" t="s">
        <v>813</v>
      </c>
      <c r="I787" s="4" t="s">
        <v>16</v>
      </c>
      <c r="J787" s="4">
        <v>48</v>
      </c>
      <c r="K787" s="4" t="str" cm="1">
        <f t="array" ref="K787">_xlfn.IFS(J787&lt;30, "Young Adult", J787&lt;50, "Adult", J787&gt;=50, "Senior")</f>
        <v>Adult</v>
      </c>
      <c r="L787" s="4" t="s">
        <v>21</v>
      </c>
      <c r="M787" s="4">
        <v>4</v>
      </c>
      <c r="N787" s="5">
        <v>25</v>
      </c>
      <c r="O787">
        <f>M787*N787</f>
        <v>100</v>
      </c>
      <c r="P787" s="14">
        <f>O787*$S$3</f>
        <v>1.5</v>
      </c>
    </row>
    <row r="788" spans="1:16">
      <c r="A788" s="2">
        <v>787</v>
      </c>
      <c r="B788" s="4">
        <f>YEAR(G788)</f>
        <v>2023</v>
      </c>
      <c r="C788" s="4">
        <f>MONTH(G788)</f>
        <v>1</v>
      </c>
      <c r="D788" s="4">
        <f>DAY(G788)</f>
        <v>22</v>
      </c>
      <c r="E788" s="4" t="str">
        <f>TEXT(G788, "mmmm")</f>
        <v>January</v>
      </c>
      <c r="F788" s="4" t="str">
        <f>TEXT(G788, "dddd")</f>
        <v>Sunday</v>
      </c>
      <c r="G788" s="3">
        <v>44948</v>
      </c>
      <c r="H788" s="4" t="s">
        <v>814</v>
      </c>
      <c r="I788" s="4" t="s">
        <v>16</v>
      </c>
      <c r="J788" s="4">
        <v>41</v>
      </c>
      <c r="K788" s="4" t="str" cm="1">
        <f t="array" ref="K788">_xlfn.IFS(J788&lt;30, "Young Adult", J788&lt;50, "Adult", J788&gt;=50, "Senior")</f>
        <v>Adult</v>
      </c>
      <c r="L788" s="4" t="s">
        <v>24</v>
      </c>
      <c r="M788" s="4">
        <v>1</v>
      </c>
      <c r="N788" s="5">
        <v>25</v>
      </c>
      <c r="O788">
        <f>M788*N788</f>
        <v>25</v>
      </c>
      <c r="P788" s="14">
        <f>O788*$S$3</f>
        <v>0.375</v>
      </c>
    </row>
    <row r="789" spans="1:16">
      <c r="A789" s="2">
        <v>788</v>
      </c>
      <c r="B789" s="4">
        <f>YEAR(G789)</f>
        <v>2023</v>
      </c>
      <c r="C789" s="4">
        <f>MONTH(G789)</f>
        <v>6</v>
      </c>
      <c r="D789" s="4">
        <f>DAY(G789)</f>
        <v>27</v>
      </c>
      <c r="E789" s="4" t="str">
        <f>TEXT(G789, "mmmm")</f>
        <v>June</v>
      </c>
      <c r="F789" s="4" t="str">
        <f>TEXT(G789, "dddd")</f>
        <v>Tuesday</v>
      </c>
      <c r="G789" s="3">
        <v>45104</v>
      </c>
      <c r="H789" s="4" t="s">
        <v>815</v>
      </c>
      <c r="I789" s="4" t="s">
        <v>20</v>
      </c>
      <c r="J789" s="4">
        <v>52</v>
      </c>
      <c r="K789" s="4" t="str" cm="1">
        <f t="array" ref="K789">_xlfn.IFS(J789&lt;30, "Young Adult", J789&lt;50, "Adult", J789&gt;=50, "Senior")</f>
        <v>Senior</v>
      </c>
      <c r="L789" s="4" t="s">
        <v>17</v>
      </c>
      <c r="M789" s="4">
        <v>3</v>
      </c>
      <c r="N789" s="5">
        <v>300</v>
      </c>
      <c r="O789">
        <f>M789*N789</f>
        <v>900</v>
      </c>
      <c r="P789" s="14">
        <f>O789*$S$3</f>
        <v>13.5</v>
      </c>
    </row>
    <row r="790" spans="1:16">
      <c r="A790" s="2">
        <v>789</v>
      </c>
      <c r="B790" s="4">
        <f>YEAR(G790)</f>
        <v>2023</v>
      </c>
      <c r="C790" s="4">
        <f>MONTH(G790)</f>
        <v>9</v>
      </c>
      <c r="D790" s="4">
        <f>DAY(G790)</f>
        <v>30</v>
      </c>
      <c r="E790" s="4" t="str">
        <f>TEXT(G790, "mmmm")</f>
        <v>September</v>
      </c>
      <c r="F790" s="4" t="str">
        <f>TEXT(G790, "dddd")</f>
        <v>Saturday</v>
      </c>
      <c r="G790" s="3">
        <v>45199</v>
      </c>
      <c r="H790" s="4" t="s">
        <v>816</v>
      </c>
      <c r="I790" s="4" t="s">
        <v>20</v>
      </c>
      <c r="J790" s="4">
        <v>61</v>
      </c>
      <c r="K790" s="4" t="str" cm="1">
        <f t="array" ref="K790">_xlfn.IFS(J790&lt;30, "Young Adult", J790&lt;50, "Adult", J790&gt;=50, "Senior")</f>
        <v>Senior</v>
      </c>
      <c r="L790" s="4" t="s">
        <v>21</v>
      </c>
      <c r="M790" s="4">
        <v>4</v>
      </c>
      <c r="N790" s="5">
        <v>500</v>
      </c>
      <c r="O790">
        <f>M790*N790</f>
        <v>2000</v>
      </c>
      <c r="P790" s="14">
        <f>O790*$S$3</f>
        <v>30</v>
      </c>
    </row>
    <row r="791" spans="1:16">
      <c r="A791" s="2">
        <v>790</v>
      </c>
      <c r="B791" s="4">
        <f>YEAR(G791)</f>
        <v>2023</v>
      </c>
      <c r="C791" s="4">
        <f>MONTH(G791)</f>
        <v>8</v>
      </c>
      <c r="D791" s="4">
        <f>DAY(G791)</f>
        <v>8</v>
      </c>
      <c r="E791" s="4" t="str">
        <f>TEXT(G791, "mmmm")</f>
        <v>August</v>
      </c>
      <c r="F791" s="4" t="str">
        <f>TEXT(G791, "dddd")</f>
        <v>Tuesday</v>
      </c>
      <c r="G791" s="3">
        <v>45146</v>
      </c>
      <c r="H791" s="4" t="s">
        <v>817</v>
      </c>
      <c r="I791" s="4" t="s">
        <v>16</v>
      </c>
      <c r="J791" s="4">
        <v>62</v>
      </c>
      <c r="K791" s="4" t="str" cm="1">
        <f t="array" ref="K791">_xlfn.IFS(J791&lt;30, "Young Adult", J791&lt;50, "Adult", J791&gt;=50, "Senior")</f>
        <v>Senior</v>
      </c>
      <c r="L791" s="4" t="s">
        <v>21</v>
      </c>
      <c r="M791" s="4">
        <v>1</v>
      </c>
      <c r="N791" s="5">
        <v>25</v>
      </c>
      <c r="O791">
        <f>M791*N791</f>
        <v>25</v>
      </c>
      <c r="P791" s="14">
        <f>O791*$S$3</f>
        <v>0.375</v>
      </c>
    </row>
    <row r="792" spans="1:16">
      <c r="A792" s="2">
        <v>791</v>
      </c>
      <c r="B792" s="4">
        <f>YEAR(G792)</f>
        <v>2023</v>
      </c>
      <c r="C792" s="4">
        <f>MONTH(G792)</f>
        <v>12</v>
      </c>
      <c r="D792" s="4">
        <f>DAY(G792)</f>
        <v>5</v>
      </c>
      <c r="E792" s="4" t="str">
        <f>TEXT(G792, "mmmm")</f>
        <v>December</v>
      </c>
      <c r="F792" s="4" t="str">
        <f>TEXT(G792, "dddd")</f>
        <v>Tuesday</v>
      </c>
      <c r="G792" s="3">
        <v>45265</v>
      </c>
      <c r="H792" s="4" t="s">
        <v>818</v>
      </c>
      <c r="I792" s="4" t="s">
        <v>20</v>
      </c>
      <c r="J792" s="4">
        <v>51</v>
      </c>
      <c r="K792" s="4" t="str" cm="1">
        <f t="array" ref="K792">_xlfn.IFS(J792&lt;30, "Young Adult", J792&lt;50, "Adult", J792&gt;=50, "Senior")</f>
        <v>Senior</v>
      </c>
      <c r="L792" s="4" t="s">
        <v>17</v>
      </c>
      <c r="M792" s="4">
        <v>1</v>
      </c>
      <c r="N792" s="5">
        <v>25</v>
      </c>
      <c r="O792">
        <f>M792*N792</f>
        <v>25</v>
      </c>
      <c r="P792" s="14">
        <f>O792*$S$3</f>
        <v>0.375</v>
      </c>
    </row>
    <row r="793" spans="1:16">
      <c r="A793" s="2">
        <v>792</v>
      </c>
      <c r="B793" s="4">
        <f>YEAR(G793)</f>
        <v>2023</v>
      </c>
      <c r="C793" s="4">
        <f>MONTH(G793)</f>
        <v>7</v>
      </c>
      <c r="D793" s="4">
        <f>DAY(G793)</f>
        <v>9</v>
      </c>
      <c r="E793" s="4" t="str">
        <f>TEXT(G793, "mmmm")</f>
        <v>July</v>
      </c>
      <c r="F793" s="4" t="str">
        <f>TEXT(G793, "dddd")</f>
        <v>Sunday</v>
      </c>
      <c r="G793" s="3">
        <v>45116</v>
      </c>
      <c r="H793" s="4" t="s">
        <v>819</v>
      </c>
      <c r="I793" s="4" t="s">
        <v>20</v>
      </c>
      <c r="J793" s="4">
        <v>20</v>
      </c>
      <c r="K793" s="4" t="str" cm="1">
        <f t="array" ref="K793">_xlfn.IFS(J793&lt;30, "Young Adult", J793&lt;50, "Adult", J793&gt;=50, "Senior")</f>
        <v>Young Adult</v>
      </c>
      <c r="L793" s="4" t="s">
        <v>17</v>
      </c>
      <c r="M793" s="4">
        <v>1</v>
      </c>
      <c r="N793" s="5">
        <v>50</v>
      </c>
      <c r="O793">
        <f>M793*N793</f>
        <v>50</v>
      </c>
      <c r="P793" s="14">
        <f>O793*$S$3</f>
        <v>0.75</v>
      </c>
    </row>
    <row r="794" spans="1:16">
      <c r="A794" s="2">
        <v>793</v>
      </c>
      <c r="B794" s="4">
        <f>YEAR(G794)</f>
        <v>2023</v>
      </c>
      <c r="C794" s="4">
        <f>MONTH(G794)</f>
        <v>2</v>
      </c>
      <c r="D794" s="4">
        <f>DAY(G794)</f>
        <v>5</v>
      </c>
      <c r="E794" s="4" t="str">
        <f>TEXT(G794, "mmmm")</f>
        <v>February</v>
      </c>
      <c r="F794" s="4" t="str">
        <f>TEXT(G794, "dddd")</f>
        <v>Sunday</v>
      </c>
      <c r="G794" s="3">
        <v>44962</v>
      </c>
      <c r="H794" s="4" t="s">
        <v>820</v>
      </c>
      <c r="I794" s="4" t="s">
        <v>16</v>
      </c>
      <c r="J794" s="4">
        <v>54</v>
      </c>
      <c r="K794" s="4" t="str" cm="1">
        <f t="array" ref="K794">_xlfn.IFS(J794&lt;30, "Young Adult", J794&lt;50, "Adult", J794&gt;=50, "Senior")</f>
        <v>Senior</v>
      </c>
      <c r="L794" s="4" t="s">
        <v>17</v>
      </c>
      <c r="M794" s="4">
        <v>1</v>
      </c>
      <c r="N794" s="5">
        <v>30</v>
      </c>
      <c r="O794">
        <f>M794*N794</f>
        <v>30</v>
      </c>
      <c r="P794" s="14">
        <f>O794*$S$3</f>
        <v>0.44999999999999996</v>
      </c>
    </row>
    <row r="795" spans="1:16">
      <c r="A795" s="2">
        <v>794</v>
      </c>
      <c r="B795" s="4">
        <f>YEAR(G795)</f>
        <v>2023</v>
      </c>
      <c r="C795" s="4">
        <f>MONTH(G795)</f>
        <v>9</v>
      </c>
      <c r="D795" s="4">
        <f>DAY(G795)</f>
        <v>17</v>
      </c>
      <c r="E795" s="4" t="str">
        <f>TEXT(G795, "mmmm")</f>
        <v>September</v>
      </c>
      <c r="F795" s="4" t="str">
        <f>TEXT(G795, "dddd")</f>
        <v>Sunday</v>
      </c>
      <c r="G795" s="3">
        <v>45186</v>
      </c>
      <c r="H795" s="4" t="s">
        <v>821</v>
      </c>
      <c r="I795" s="4" t="s">
        <v>20</v>
      </c>
      <c r="J795" s="4">
        <v>60</v>
      </c>
      <c r="K795" s="4" t="str" cm="1">
        <f t="array" ref="K795">_xlfn.IFS(J795&lt;30, "Young Adult", J795&lt;50, "Adult", J795&gt;=50, "Senior")</f>
        <v>Senior</v>
      </c>
      <c r="L795" s="4" t="s">
        <v>17</v>
      </c>
      <c r="M795" s="4">
        <v>1</v>
      </c>
      <c r="N795" s="5">
        <v>300</v>
      </c>
      <c r="O795">
        <f>M795*N795</f>
        <v>300</v>
      </c>
      <c r="P795" s="14">
        <f>O795*$S$3</f>
        <v>4.5</v>
      </c>
    </row>
    <row r="796" spans="1:16">
      <c r="A796" s="2">
        <v>795</v>
      </c>
      <c r="B796" s="4">
        <f>YEAR(G796)</f>
        <v>2023</v>
      </c>
      <c r="C796" s="4">
        <f>MONTH(G796)</f>
        <v>11</v>
      </c>
      <c r="D796" s="4">
        <f>DAY(G796)</f>
        <v>28</v>
      </c>
      <c r="E796" s="4" t="str">
        <f>TEXT(G796, "mmmm")</f>
        <v>November</v>
      </c>
      <c r="F796" s="4" t="str">
        <f>TEXT(G796, "dddd")</f>
        <v>Tuesday</v>
      </c>
      <c r="G796" s="3">
        <v>45258</v>
      </c>
      <c r="H796" s="4" t="s">
        <v>822</v>
      </c>
      <c r="I796" s="4" t="s">
        <v>16</v>
      </c>
      <c r="J796" s="4">
        <v>57</v>
      </c>
      <c r="K796" s="4" t="str" cm="1">
        <f t="array" ref="K796">_xlfn.IFS(J796&lt;30, "Young Adult", J796&lt;50, "Adult", J796&gt;=50, "Senior")</f>
        <v>Senior</v>
      </c>
      <c r="L796" s="4" t="s">
        <v>24</v>
      </c>
      <c r="M796" s="4">
        <v>1</v>
      </c>
      <c r="N796" s="5">
        <v>300</v>
      </c>
      <c r="O796">
        <f>M796*N796</f>
        <v>300</v>
      </c>
      <c r="P796" s="14">
        <f>O796*$S$3</f>
        <v>4.5</v>
      </c>
    </row>
    <row r="797" spans="1:16">
      <c r="A797" s="2">
        <v>796</v>
      </c>
      <c r="B797" s="4">
        <f>YEAR(G797)</f>
        <v>2023</v>
      </c>
      <c r="C797" s="4">
        <f>MONTH(G797)</f>
        <v>6</v>
      </c>
      <c r="D797" s="4">
        <f>DAY(G797)</f>
        <v>24</v>
      </c>
      <c r="E797" s="4" t="str">
        <f>TEXT(G797, "mmmm")</f>
        <v>June</v>
      </c>
      <c r="F797" s="4" t="str">
        <f>TEXT(G797, "dddd")</f>
        <v>Saturday</v>
      </c>
      <c r="G797" s="3">
        <v>45101</v>
      </c>
      <c r="H797" s="4" t="s">
        <v>823</v>
      </c>
      <c r="I797" s="4" t="s">
        <v>16</v>
      </c>
      <c r="J797" s="4">
        <v>43</v>
      </c>
      <c r="K797" s="4" t="str" cm="1">
        <f t="array" ref="K797">_xlfn.IFS(J797&lt;30, "Young Adult", J797&lt;50, "Adult", J797&gt;=50, "Senior")</f>
        <v>Adult</v>
      </c>
      <c r="L797" s="4" t="s">
        <v>17</v>
      </c>
      <c r="M797" s="4">
        <v>4</v>
      </c>
      <c r="N797" s="5">
        <v>30</v>
      </c>
      <c r="O797">
        <f>M797*N797</f>
        <v>120</v>
      </c>
      <c r="P797" s="14">
        <f>O797*$S$3</f>
        <v>1.7999999999999998</v>
      </c>
    </row>
    <row r="798" spans="1:16">
      <c r="A798" s="2">
        <v>797</v>
      </c>
      <c r="B798" s="4">
        <f>YEAR(G798)</f>
        <v>2023</v>
      </c>
      <c r="C798" s="4">
        <f>MONTH(G798)</f>
        <v>1</v>
      </c>
      <c r="D798" s="4">
        <f>DAY(G798)</f>
        <v>7</v>
      </c>
      <c r="E798" s="4" t="str">
        <f>TEXT(G798, "mmmm")</f>
        <v>January</v>
      </c>
      <c r="F798" s="4" t="str">
        <f>TEXT(G798, "dddd")</f>
        <v>Saturday</v>
      </c>
      <c r="G798" s="3">
        <v>44933</v>
      </c>
      <c r="H798" s="4" t="s">
        <v>824</v>
      </c>
      <c r="I798" s="4" t="s">
        <v>16</v>
      </c>
      <c r="J798" s="4">
        <v>40</v>
      </c>
      <c r="K798" s="4" t="str" cm="1">
        <f t="array" ref="K798">_xlfn.IFS(J798&lt;30, "Young Adult", J798&lt;50, "Adult", J798&gt;=50, "Senior")</f>
        <v>Adult</v>
      </c>
      <c r="L798" s="4" t="s">
        <v>21</v>
      </c>
      <c r="M798" s="4">
        <v>3</v>
      </c>
      <c r="N798" s="5">
        <v>25</v>
      </c>
      <c r="O798">
        <f>M798*N798</f>
        <v>75</v>
      </c>
      <c r="P798" s="14">
        <f>O798*$S$3</f>
        <v>1.125</v>
      </c>
    </row>
    <row r="799" spans="1:16">
      <c r="A799" s="2">
        <v>798</v>
      </c>
      <c r="B799" s="4">
        <f>YEAR(G799)</f>
        <v>2023</v>
      </c>
      <c r="C799" s="4">
        <f>MONTH(G799)</f>
        <v>8</v>
      </c>
      <c r="D799" s="4">
        <f>DAY(G799)</f>
        <v>4</v>
      </c>
      <c r="E799" s="4" t="str">
        <f>TEXT(G799, "mmmm")</f>
        <v>August</v>
      </c>
      <c r="F799" s="4" t="str">
        <f>TEXT(G799, "dddd")</f>
        <v>Friday</v>
      </c>
      <c r="G799" s="3">
        <v>45142</v>
      </c>
      <c r="H799" s="4" t="s">
        <v>825</v>
      </c>
      <c r="I799" s="4" t="s">
        <v>16</v>
      </c>
      <c r="J799" s="4">
        <v>61</v>
      </c>
      <c r="K799" s="4" t="str" cm="1">
        <f t="array" ref="K799">_xlfn.IFS(J799&lt;30, "Young Adult", J799&lt;50, "Adult", J799&gt;=50, "Senior")</f>
        <v>Senior</v>
      </c>
      <c r="L799" s="4" t="s">
        <v>21</v>
      </c>
      <c r="M799" s="4">
        <v>1</v>
      </c>
      <c r="N799" s="5">
        <v>50</v>
      </c>
      <c r="O799">
        <f>M799*N799</f>
        <v>50</v>
      </c>
      <c r="P799" s="14">
        <f>O799*$S$3</f>
        <v>0.75</v>
      </c>
    </row>
    <row r="800" spans="1:16">
      <c r="A800" s="2">
        <v>799</v>
      </c>
      <c r="B800" s="4">
        <f>YEAR(G800)</f>
        <v>2023</v>
      </c>
      <c r="C800" s="4">
        <f>MONTH(G800)</f>
        <v>9</v>
      </c>
      <c r="D800" s="4">
        <f>DAY(G800)</f>
        <v>8</v>
      </c>
      <c r="E800" s="4" t="str">
        <f>TEXT(G800, "mmmm")</f>
        <v>September</v>
      </c>
      <c r="F800" s="4" t="str">
        <f>TEXT(G800, "dddd")</f>
        <v>Friday</v>
      </c>
      <c r="G800" s="3">
        <v>45177</v>
      </c>
      <c r="H800" s="4" t="s">
        <v>826</v>
      </c>
      <c r="I800" s="4" t="s">
        <v>16</v>
      </c>
      <c r="J800" s="4">
        <v>56</v>
      </c>
      <c r="K800" s="4" t="str" cm="1">
        <f t="array" ref="K800">_xlfn.IFS(J800&lt;30, "Young Adult", J800&lt;50, "Adult", J800&gt;=50, "Senior")</f>
        <v>Senior</v>
      </c>
      <c r="L800" s="4" t="s">
        <v>24</v>
      </c>
      <c r="M800" s="4">
        <v>2</v>
      </c>
      <c r="N800" s="5">
        <v>50</v>
      </c>
      <c r="O800">
        <f>M800*N800</f>
        <v>100</v>
      </c>
      <c r="P800" s="14">
        <f>O800*$S$3</f>
        <v>1.5</v>
      </c>
    </row>
    <row r="801" spans="1:16">
      <c r="A801" s="2">
        <v>800</v>
      </c>
      <c r="B801" s="4">
        <f>YEAR(G801)</f>
        <v>2023</v>
      </c>
      <c r="C801" s="4">
        <f>MONTH(G801)</f>
        <v>2</v>
      </c>
      <c r="D801" s="4">
        <f>DAY(G801)</f>
        <v>24</v>
      </c>
      <c r="E801" s="4" t="str">
        <f>TEXT(G801, "mmmm")</f>
        <v>February</v>
      </c>
      <c r="F801" s="4" t="str">
        <f>TEXT(G801, "dddd")</f>
        <v>Friday</v>
      </c>
      <c r="G801" s="3">
        <v>44981</v>
      </c>
      <c r="H801" s="4" t="s">
        <v>827</v>
      </c>
      <c r="I801" s="4" t="s">
        <v>16</v>
      </c>
      <c r="J801" s="4">
        <v>32</v>
      </c>
      <c r="K801" s="4" t="str" cm="1">
        <f t="array" ref="K801">_xlfn.IFS(J801&lt;30, "Young Adult", J801&lt;50, "Adult", J801&gt;=50, "Senior")</f>
        <v>Adult</v>
      </c>
      <c r="L801" s="4" t="s">
        <v>21</v>
      </c>
      <c r="M801" s="4">
        <v>4</v>
      </c>
      <c r="N801" s="5">
        <v>300</v>
      </c>
      <c r="O801">
        <f>M801*N801</f>
        <v>1200</v>
      </c>
      <c r="P801" s="14">
        <f>O801*$S$3</f>
        <v>18</v>
      </c>
    </row>
    <row r="802" spans="1:16">
      <c r="A802" s="2">
        <v>801</v>
      </c>
      <c r="B802" s="4">
        <f>YEAR(G802)</f>
        <v>2023</v>
      </c>
      <c r="C802" s="4">
        <f>MONTH(G802)</f>
        <v>8</v>
      </c>
      <c r="D802" s="4">
        <f>DAY(G802)</f>
        <v>10</v>
      </c>
      <c r="E802" s="4" t="str">
        <f>TEXT(G802, "mmmm")</f>
        <v>August</v>
      </c>
      <c r="F802" s="4" t="str">
        <f>TEXT(G802, "dddd")</f>
        <v>Thursday</v>
      </c>
      <c r="G802" s="3">
        <v>45148</v>
      </c>
      <c r="H802" s="4" t="s">
        <v>828</v>
      </c>
      <c r="I802" s="4" t="s">
        <v>16</v>
      </c>
      <c r="J802" s="4">
        <v>21</v>
      </c>
      <c r="K802" s="4" t="str" cm="1">
        <f t="array" ref="K802">_xlfn.IFS(J802&lt;30, "Young Adult", J802&lt;50, "Adult", J802&gt;=50, "Senior")</f>
        <v>Young Adult</v>
      </c>
      <c r="L802" s="4" t="s">
        <v>21</v>
      </c>
      <c r="M802" s="4">
        <v>4</v>
      </c>
      <c r="N802" s="5">
        <v>50</v>
      </c>
      <c r="O802">
        <f>M802*N802</f>
        <v>200</v>
      </c>
      <c r="P802" s="14">
        <f>O802*$S$3</f>
        <v>3</v>
      </c>
    </row>
    <row r="803" spans="1:16">
      <c r="A803" s="2">
        <v>802</v>
      </c>
      <c r="B803" s="4">
        <f>YEAR(G803)</f>
        <v>2023</v>
      </c>
      <c r="C803" s="4">
        <f>MONTH(G803)</f>
        <v>7</v>
      </c>
      <c r="D803" s="4">
        <f>DAY(G803)</f>
        <v>5</v>
      </c>
      <c r="E803" s="4" t="str">
        <f>TEXT(G803, "mmmm")</f>
        <v>July</v>
      </c>
      <c r="F803" s="4" t="str">
        <f>TEXT(G803, "dddd")</f>
        <v>Wednesday</v>
      </c>
      <c r="G803" s="3">
        <v>45112</v>
      </c>
      <c r="H803" s="4" t="s">
        <v>829</v>
      </c>
      <c r="I803" s="4" t="s">
        <v>20</v>
      </c>
      <c r="J803" s="4">
        <v>46</v>
      </c>
      <c r="K803" s="4" t="str" cm="1">
        <f t="array" ref="K803">_xlfn.IFS(J803&lt;30, "Young Adult", J803&lt;50, "Adult", J803&gt;=50, "Senior")</f>
        <v>Adult</v>
      </c>
      <c r="L803" s="4" t="s">
        <v>17</v>
      </c>
      <c r="M803" s="4">
        <v>1</v>
      </c>
      <c r="N803" s="5">
        <v>30</v>
      </c>
      <c r="O803">
        <f>M803*N803</f>
        <v>30</v>
      </c>
      <c r="P803" s="14">
        <f>O803*$S$3</f>
        <v>0.44999999999999996</v>
      </c>
    </row>
    <row r="804" spans="1:16">
      <c r="A804" s="2">
        <v>803</v>
      </c>
      <c r="B804" s="4">
        <f>YEAR(G804)</f>
        <v>2023</v>
      </c>
      <c r="C804" s="4">
        <f>MONTH(G804)</f>
        <v>11</v>
      </c>
      <c r="D804" s="4">
        <f>DAY(G804)</f>
        <v>22</v>
      </c>
      <c r="E804" s="4" t="str">
        <f>TEXT(G804, "mmmm")</f>
        <v>November</v>
      </c>
      <c r="F804" s="4" t="str">
        <f>TEXT(G804, "dddd")</f>
        <v>Wednesday</v>
      </c>
      <c r="G804" s="3">
        <v>45252</v>
      </c>
      <c r="H804" s="4" t="s">
        <v>830</v>
      </c>
      <c r="I804" s="4" t="s">
        <v>16</v>
      </c>
      <c r="J804" s="4">
        <v>39</v>
      </c>
      <c r="K804" s="4" t="str" cm="1">
        <f t="array" ref="K804">_xlfn.IFS(J804&lt;30, "Young Adult", J804&lt;50, "Adult", J804&gt;=50, "Senior")</f>
        <v>Adult</v>
      </c>
      <c r="L804" s="4" t="s">
        <v>21</v>
      </c>
      <c r="M804" s="4">
        <v>4</v>
      </c>
      <c r="N804" s="5">
        <v>25</v>
      </c>
      <c r="O804">
        <f>M804*N804</f>
        <v>100</v>
      </c>
      <c r="P804" s="14">
        <f>O804*$S$3</f>
        <v>1.5</v>
      </c>
    </row>
    <row r="805" spans="1:16">
      <c r="A805" s="2">
        <v>804</v>
      </c>
      <c r="B805" s="4">
        <f>YEAR(G805)</f>
        <v>2023</v>
      </c>
      <c r="C805" s="4">
        <f>MONTH(G805)</f>
        <v>8</v>
      </c>
      <c r="D805" s="4">
        <f>DAY(G805)</f>
        <v>24</v>
      </c>
      <c r="E805" s="4" t="str">
        <f>TEXT(G805, "mmmm")</f>
        <v>August</v>
      </c>
      <c r="F805" s="4" t="str">
        <f>TEXT(G805, "dddd")</f>
        <v>Thursday</v>
      </c>
      <c r="G805" s="3">
        <v>45162</v>
      </c>
      <c r="H805" s="4" t="s">
        <v>831</v>
      </c>
      <c r="I805" s="4" t="s">
        <v>16</v>
      </c>
      <c r="J805" s="4">
        <v>42</v>
      </c>
      <c r="K805" s="4" t="str" cm="1">
        <f t="array" ref="K805">_xlfn.IFS(J805&lt;30, "Young Adult", J805&lt;50, "Adult", J805&gt;=50, "Senior")</f>
        <v>Adult</v>
      </c>
      <c r="L805" s="4" t="s">
        <v>24</v>
      </c>
      <c r="M805" s="4">
        <v>1</v>
      </c>
      <c r="N805" s="5">
        <v>30</v>
      </c>
      <c r="O805">
        <f>M805*N805</f>
        <v>30</v>
      </c>
      <c r="P805" s="14">
        <f>O805*$S$3</f>
        <v>0.44999999999999996</v>
      </c>
    </row>
    <row r="806" spans="1:16">
      <c r="A806" s="2">
        <v>805</v>
      </c>
      <c r="B806" s="4">
        <f>YEAR(G806)</f>
        <v>2023</v>
      </c>
      <c r="C806" s="4">
        <f>MONTH(G806)</f>
        <v>12</v>
      </c>
      <c r="D806" s="4">
        <f>DAY(G806)</f>
        <v>29</v>
      </c>
      <c r="E806" s="4" t="str">
        <f>TEXT(G806, "mmmm")</f>
        <v>December</v>
      </c>
      <c r="F806" s="4" t="str">
        <f>TEXT(G806, "dddd")</f>
        <v>Friday</v>
      </c>
      <c r="G806" s="3">
        <v>45289</v>
      </c>
      <c r="H806" s="4" t="s">
        <v>832</v>
      </c>
      <c r="I806" s="4" t="s">
        <v>20</v>
      </c>
      <c r="J806" s="4">
        <v>30</v>
      </c>
      <c r="K806" s="4" t="str" cm="1">
        <f t="array" ref="K806">_xlfn.IFS(J806&lt;30, "Young Adult", J806&lt;50, "Adult", J806&gt;=50, "Senior")</f>
        <v>Adult</v>
      </c>
      <c r="L806" s="4" t="s">
        <v>17</v>
      </c>
      <c r="M806" s="4">
        <v>3</v>
      </c>
      <c r="N806" s="5">
        <v>500</v>
      </c>
      <c r="O806">
        <f>M806*N806</f>
        <v>1500</v>
      </c>
      <c r="P806" s="14">
        <f>O806*$S$3</f>
        <v>22.5</v>
      </c>
    </row>
    <row r="807" spans="1:16">
      <c r="A807" s="2">
        <v>806</v>
      </c>
      <c r="B807" s="4">
        <f>YEAR(G807)</f>
        <v>2023</v>
      </c>
      <c r="C807" s="4">
        <f>MONTH(G807)</f>
        <v>3</v>
      </c>
      <c r="D807" s="4">
        <f>DAY(G807)</f>
        <v>20</v>
      </c>
      <c r="E807" s="4" t="str">
        <f>TEXT(G807, "mmmm")</f>
        <v>March</v>
      </c>
      <c r="F807" s="4" t="str">
        <f>TEXT(G807, "dddd")</f>
        <v>Monday</v>
      </c>
      <c r="G807" s="3">
        <v>45005</v>
      </c>
      <c r="H807" s="4" t="s">
        <v>833</v>
      </c>
      <c r="I807" s="4" t="s">
        <v>20</v>
      </c>
      <c r="J807" s="4">
        <v>35</v>
      </c>
      <c r="K807" s="4" t="str" cm="1">
        <f t="array" ref="K807">_xlfn.IFS(J807&lt;30, "Young Adult", J807&lt;50, "Adult", J807&gt;=50, "Senior")</f>
        <v>Adult</v>
      </c>
      <c r="L807" s="4" t="s">
        <v>17</v>
      </c>
      <c r="M807" s="4">
        <v>3</v>
      </c>
      <c r="N807" s="5">
        <v>300</v>
      </c>
      <c r="O807">
        <f>M807*N807</f>
        <v>900</v>
      </c>
      <c r="P807" s="14">
        <f>O807*$S$3</f>
        <v>13.5</v>
      </c>
    </row>
    <row r="808" spans="1:16">
      <c r="A808" s="2">
        <v>807</v>
      </c>
      <c r="B808" s="4">
        <f>YEAR(G808)</f>
        <v>2023</v>
      </c>
      <c r="C808" s="4">
        <f>MONTH(G808)</f>
        <v>8</v>
      </c>
      <c r="D808" s="4">
        <f>DAY(G808)</f>
        <v>11</v>
      </c>
      <c r="E808" s="4" t="str">
        <f>TEXT(G808, "mmmm")</f>
        <v>August</v>
      </c>
      <c r="F808" s="4" t="str">
        <f>TEXT(G808, "dddd")</f>
        <v>Friday</v>
      </c>
      <c r="G808" s="3">
        <v>45149</v>
      </c>
      <c r="H808" s="4" t="s">
        <v>834</v>
      </c>
      <c r="I808" s="4" t="s">
        <v>20</v>
      </c>
      <c r="J808" s="4">
        <v>50</v>
      </c>
      <c r="K808" s="4" t="str" cm="1">
        <f t="array" ref="K808">_xlfn.IFS(J808&lt;30, "Young Adult", J808&lt;50, "Adult", J808&gt;=50, "Senior")</f>
        <v>Senior</v>
      </c>
      <c r="L808" s="4" t="s">
        <v>24</v>
      </c>
      <c r="M808" s="4">
        <v>4</v>
      </c>
      <c r="N808" s="5">
        <v>50</v>
      </c>
      <c r="O808">
        <f>M808*N808</f>
        <v>200</v>
      </c>
      <c r="P808" s="14">
        <f>O808*$S$3</f>
        <v>3</v>
      </c>
    </row>
    <row r="809" spans="1:16">
      <c r="A809" s="2">
        <v>808</v>
      </c>
      <c r="B809" s="4">
        <f>YEAR(G809)</f>
        <v>2023</v>
      </c>
      <c r="C809" s="4">
        <f>MONTH(G809)</f>
        <v>4</v>
      </c>
      <c r="D809" s="4">
        <f>DAY(G809)</f>
        <v>1</v>
      </c>
      <c r="E809" s="4" t="str">
        <f>TEXT(G809, "mmmm")</f>
        <v>April</v>
      </c>
      <c r="F809" s="4" t="str">
        <f>TEXT(G809, "dddd")</f>
        <v>Saturday</v>
      </c>
      <c r="G809" s="3">
        <v>45017</v>
      </c>
      <c r="H809" s="4" t="s">
        <v>835</v>
      </c>
      <c r="I809" s="4" t="s">
        <v>16</v>
      </c>
      <c r="J809" s="4">
        <v>33</v>
      </c>
      <c r="K809" s="4" t="str" cm="1">
        <f t="array" ref="K809">_xlfn.IFS(J809&lt;30, "Young Adult", J809&lt;50, "Adult", J809&gt;=50, "Senior")</f>
        <v>Adult</v>
      </c>
      <c r="L809" s="4" t="s">
        <v>17</v>
      </c>
      <c r="M809" s="4">
        <v>4</v>
      </c>
      <c r="N809" s="5">
        <v>500</v>
      </c>
      <c r="O809">
        <f>M809*N809</f>
        <v>2000</v>
      </c>
      <c r="P809" s="14">
        <f>O809*$S$3</f>
        <v>30</v>
      </c>
    </row>
    <row r="810" spans="1:16">
      <c r="A810" s="2">
        <v>809</v>
      </c>
      <c r="B810" s="4">
        <f>YEAR(G810)</f>
        <v>2023</v>
      </c>
      <c r="C810" s="4">
        <f>MONTH(G810)</f>
        <v>9</v>
      </c>
      <c r="D810" s="4">
        <f>DAY(G810)</f>
        <v>25</v>
      </c>
      <c r="E810" s="4" t="str">
        <f>TEXT(G810, "mmmm")</f>
        <v>September</v>
      </c>
      <c r="F810" s="4" t="str">
        <f>TEXT(G810, "dddd")</f>
        <v>Monday</v>
      </c>
      <c r="G810" s="3">
        <v>45194</v>
      </c>
      <c r="H810" s="4" t="s">
        <v>836</v>
      </c>
      <c r="I810" s="4" t="s">
        <v>20</v>
      </c>
      <c r="J810" s="4">
        <v>62</v>
      </c>
      <c r="K810" s="4" t="str" cm="1">
        <f t="array" ref="K810">_xlfn.IFS(J810&lt;30, "Young Adult", J810&lt;50, "Adult", J810&gt;=50, "Senior")</f>
        <v>Senior</v>
      </c>
      <c r="L810" s="4" t="s">
        <v>17</v>
      </c>
      <c r="M810" s="4">
        <v>2</v>
      </c>
      <c r="N810" s="5">
        <v>50</v>
      </c>
      <c r="O810">
        <f>M810*N810</f>
        <v>100</v>
      </c>
      <c r="P810" s="14">
        <f>O810*$S$3</f>
        <v>1.5</v>
      </c>
    </row>
    <row r="811" spans="1:16">
      <c r="A811" s="2">
        <v>810</v>
      </c>
      <c r="B811" s="4">
        <f>YEAR(G811)</f>
        <v>2023</v>
      </c>
      <c r="C811" s="4">
        <f>MONTH(G811)</f>
        <v>11</v>
      </c>
      <c r="D811" s="4">
        <f>DAY(G811)</f>
        <v>30</v>
      </c>
      <c r="E811" s="4" t="str">
        <f>TEXT(G811, "mmmm")</f>
        <v>November</v>
      </c>
      <c r="F811" s="4" t="str">
        <f>TEXT(G811, "dddd")</f>
        <v>Thursday</v>
      </c>
      <c r="G811" s="3">
        <v>45260</v>
      </c>
      <c r="H811" s="4" t="s">
        <v>837</v>
      </c>
      <c r="I811" s="4" t="s">
        <v>16</v>
      </c>
      <c r="J811" s="4">
        <v>59</v>
      </c>
      <c r="K811" s="4" t="str" cm="1">
        <f t="array" ref="K811">_xlfn.IFS(J811&lt;30, "Young Adult", J811&lt;50, "Adult", J811&gt;=50, "Senior")</f>
        <v>Senior</v>
      </c>
      <c r="L811" s="4" t="s">
        <v>24</v>
      </c>
      <c r="M811" s="4">
        <v>4</v>
      </c>
      <c r="N811" s="5">
        <v>25</v>
      </c>
      <c r="O811">
        <f>M811*N811</f>
        <v>100</v>
      </c>
      <c r="P811" s="14">
        <f>O811*$S$3</f>
        <v>1.5</v>
      </c>
    </row>
    <row r="812" spans="1:16">
      <c r="A812" s="2">
        <v>811</v>
      </c>
      <c r="B812" s="4">
        <f>YEAR(G812)</f>
        <v>2023</v>
      </c>
      <c r="C812" s="4">
        <f>MONTH(G812)</f>
        <v>5</v>
      </c>
      <c r="D812" s="4">
        <f>DAY(G812)</f>
        <v>19</v>
      </c>
      <c r="E812" s="4" t="str">
        <f>TEXT(G812, "mmmm")</f>
        <v>May</v>
      </c>
      <c r="F812" s="4" t="str">
        <f>TEXT(G812, "dddd")</f>
        <v>Friday</v>
      </c>
      <c r="G812" s="3">
        <v>45065</v>
      </c>
      <c r="H812" s="4" t="s">
        <v>838</v>
      </c>
      <c r="I812" s="4" t="s">
        <v>16</v>
      </c>
      <c r="J812" s="4">
        <v>61</v>
      </c>
      <c r="K812" s="4" t="str" cm="1">
        <f t="array" ref="K812">_xlfn.IFS(J812&lt;30, "Young Adult", J812&lt;50, "Adult", J812&gt;=50, "Senior")</f>
        <v>Senior</v>
      </c>
      <c r="L812" s="4" t="s">
        <v>17</v>
      </c>
      <c r="M812" s="4">
        <v>2</v>
      </c>
      <c r="N812" s="5">
        <v>25</v>
      </c>
      <c r="O812">
        <f>M812*N812</f>
        <v>50</v>
      </c>
      <c r="P812" s="14">
        <f>O812*$S$3</f>
        <v>0.75</v>
      </c>
    </row>
    <row r="813" spans="1:16">
      <c r="A813" s="2">
        <v>812</v>
      </c>
      <c r="B813" s="4">
        <f>YEAR(G813)</f>
        <v>2023</v>
      </c>
      <c r="C813" s="4">
        <f>MONTH(G813)</f>
        <v>11</v>
      </c>
      <c r="D813" s="4">
        <f>DAY(G813)</f>
        <v>12</v>
      </c>
      <c r="E813" s="4" t="str">
        <f>TEXT(G813, "mmmm")</f>
        <v>November</v>
      </c>
      <c r="F813" s="4" t="str">
        <f>TEXT(G813, "dddd")</f>
        <v>Sunday</v>
      </c>
      <c r="G813" s="3">
        <v>45242</v>
      </c>
      <c r="H813" s="4" t="s">
        <v>839</v>
      </c>
      <c r="I813" s="4" t="s">
        <v>16</v>
      </c>
      <c r="J813" s="4">
        <v>19</v>
      </c>
      <c r="K813" s="4" t="str" cm="1">
        <f t="array" ref="K813">_xlfn.IFS(J813&lt;30, "Young Adult", J813&lt;50, "Adult", J813&gt;=50, "Senior")</f>
        <v>Young Adult</v>
      </c>
      <c r="L813" s="4" t="s">
        <v>24</v>
      </c>
      <c r="M813" s="4">
        <v>3</v>
      </c>
      <c r="N813" s="5">
        <v>25</v>
      </c>
      <c r="O813">
        <f>M813*N813</f>
        <v>75</v>
      </c>
      <c r="P813" s="14">
        <f>O813*$S$3</f>
        <v>1.125</v>
      </c>
    </row>
    <row r="814" spans="1:16">
      <c r="A814" s="2">
        <v>813</v>
      </c>
      <c r="B814" s="4">
        <f>YEAR(G814)</f>
        <v>2023</v>
      </c>
      <c r="C814" s="4">
        <f>MONTH(G814)</f>
        <v>10</v>
      </c>
      <c r="D814" s="4">
        <f>DAY(G814)</f>
        <v>3</v>
      </c>
      <c r="E814" s="4" t="str">
        <f>TEXT(G814, "mmmm")</f>
        <v>October</v>
      </c>
      <c r="F814" s="4" t="str">
        <f>TEXT(G814, "dddd")</f>
        <v>Tuesday</v>
      </c>
      <c r="G814" s="3">
        <v>45202</v>
      </c>
      <c r="H814" s="4" t="s">
        <v>840</v>
      </c>
      <c r="I814" s="4" t="s">
        <v>16</v>
      </c>
      <c r="J814" s="4">
        <v>52</v>
      </c>
      <c r="K814" s="4" t="str" cm="1">
        <f t="array" ref="K814">_xlfn.IFS(J814&lt;30, "Young Adult", J814&lt;50, "Adult", J814&gt;=50, "Senior")</f>
        <v>Senior</v>
      </c>
      <c r="L814" s="4" t="s">
        <v>24</v>
      </c>
      <c r="M814" s="4">
        <v>3</v>
      </c>
      <c r="N814" s="5">
        <v>50</v>
      </c>
      <c r="O814">
        <f>M814*N814</f>
        <v>150</v>
      </c>
      <c r="P814" s="14">
        <f>O814*$S$3</f>
        <v>2.25</v>
      </c>
    </row>
    <row r="815" spans="1:16">
      <c r="A815" s="2">
        <v>814</v>
      </c>
      <c r="B815" s="4">
        <f>YEAR(G815)</f>
        <v>2023</v>
      </c>
      <c r="C815" s="4">
        <f>MONTH(G815)</f>
        <v>9</v>
      </c>
      <c r="D815" s="4">
        <f>DAY(G815)</f>
        <v>5</v>
      </c>
      <c r="E815" s="4" t="str">
        <f>TEXT(G815, "mmmm")</f>
        <v>September</v>
      </c>
      <c r="F815" s="4" t="str">
        <f>TEXT(G815, "dddd")</f>
        <v>Tuesday</v>
      </c>
      <c r="G815" s="3">
        <v>45174</v>
      </c>
      <c r="H815" s="4" t="s">
        <v>841</v>
      </c>
      <c r="I815" s="4" t="s">
        <v>20</v>
      </c>
      <c r="J815" s="4">
        <v>59</v>
      </c>
      <c r="K815" s="4" t="str" cm="1">
        <f t="array" ref="K815">_xlfn.IFS(J815&lt;30, "Young Adult", J815&lt;50, "Adult", J815&gt;=50, "Senior")</f>
        <v>Senior</v>
      </c>
      <c r="L815" s="4" t="s">
        <v>21</v>
      </c>
      <c r="M815" s="4">
        <v>1</v>
      </c>
      <c r="N815" s="5">
        <v>500</v>
      </c>
      <c r="O815">
        <f>M815*N815</f>
        <v>500</v>
      </c>
      <c r="P815" s="14">
        <f>O815*$S$3</f>
        <v>7.5</v>
      </c>
    </row>
    <row r="816" spans="1:16">
      <c r="A816" s="2">
        <v>815</v>
      </c>
      <c r="B816" s="4">
        <f>YEAR(G816)</f>
        <v>2023</v>
      </c>
      <c r="C816" s="4">
        <f>MONTH(G816)</f>
        <v>8</v>
      </c>
      <c r="D816" s="4">
        <f>DAY(G816)</f>
        <v>27</v>
      </c>
      <c r="E816" s="4" t="str">
        <f>TEXT(G816, "mmmm")</f>
        <v>August</v>
      </c>
      <c r="F816" s="4" t="str">
        <f>TEXT(G816, "dddd")</f>
        <v>Sunday</v>
      </c>
      <c r="G816" s="3">
        <v>45165</v>
      </c>
      <c r="H816" s="4" t="s">
        <v>842</v>
      </c>
      <c r="I816" s="4" t="s">
        <v>20</v>
      </c>
      <c r="J816" s="4">
        <v>51</v>
      </c>
      <c r="K816" s="4" t="str" cm="1">
        <f t="array" ref="K816">_xlfn.IFS(J816&lt;30, "Young Adult", J816&lt;50, "Adult", J816&gt;=50, "Senior")</f>
        <v>Senior</v>
      </c>
      <c r="L816" s="4" t="s">
        <v>21</v>
      </c>
      <c r="M816" s="4">
        <v>3</v>
      </c>
      <c r="N816" s="5">
        <v>25</v>
      </c>
      <c r="O816">
        <f>M816*N816</f>
        <v>75</v>
      </c>
      <c r="P816" s="14">
        <f>O816*$S$3</f>
        <v>1.125</v>
      </c>
    </row>
    <row r="817" spans="1:16">
      <c r="A817" s="2">
        <v>816</v>
      </c>
      <c r="B817" s="4">
        <f>YEAR(G817)</f>
        <v>2023</v>
      </c>
      <c r="C817" s="4">
        <f>MONTH(G817)</f>
        <v>8</v>
      </c>
      <c r="D817" s="4">
        <f>DAY(G817)</f>
        <v>12</v>
      </c>
      <c r="E817" s="4" t="str">
        <f>TEXT(G817, "mmmm")</f>
        <v>August</v>
      </c>
      <c r="F817" s="4" t="str">
        <f>TEXT(G817, "dddd")</f>
        <v>Saturday</v>
      </c>
      <c r="G817" s="3">
        <v>45150</v>
      </c>
      <c r="H817" s="4" t="s">
        <v>843</v>
      </c>
      <c r="I817" s="4" t="s">
        <v>16</v>
      </c>
      <c r="J817" s="4">
        <v>47</v>
      </c>
      <c r="K817" s="4" t="str" cm="1">
        <f t="array" ref="K817">_xlfn.IFS(J817&lt;30, "Young Adult", J817&lt;50, "Adult", J817&gt;=50, "Senior")</f>
        <v>Adult</v>
      </c>
      <c r="L817" s="4" t="s">
        <v>17</v>
      </c>
      <c r="M817" s="4">
        <v>2</v>
      </c>
      <c r="N817" s="5">
        <v>500</v>
      </c>
      <c r="O817">
        <f>M817*N817</f>
        <v>1000</v>
      </c>
      <c r="P817" s="14">
        <f>O817*$S$3</f>
        <v>15</v>
      </c>
    </row>
    <row r="818" spans="1:16">
      <c r="A818" s="2">
        <v>817</v>
      </c>
      <c r="B818" s="4">
        <f>YEAR(G818)</f>
        <v>2023</v>
      </c>
      <c r="C818" s="4">
        <f>MONTH(G818)</f>
        <v>10</v>
      </c>
      <c r="D818" s="4">
        <f>DAY(G818)</f>
        <v>31</v>
      </c>
      <c r="E818" s="4" t="str">
        <f>TEXT(G818, "mmmm")</f>
        <v>October</v>
      </c>
      <c r="F818" s="4" t="str">
        <f>TEXT(G818, "dddd")</f>
        <v>Tuesday</v>
      </c>
      <c r="G818" s="3">
        <v>45230</v>
      </c>
      <c r="H818" s="4" t="s">
        <v>844</v>
      </c>
      <c r="I818" s="4" t="s">
        <v>16</v>
      </c>
      <c r="J818" s="4">
        <v>30</v>
      </c>
      <c r="K818" s="4" t="str" cm="1">
        <f t="array" ref="K818">_xlfn.IFS(J818&lt;30, "Young Adult", J818&lt;50, "Adult", J818&gt;=50, "Senior")</f>
        <v>Adult</v>
      </c>
      <c r="L818" s="4" t="s">
        <v>17</v>
      </c>
      <c r="M818" s="4">
        <v>4</v>
      </c>
      <c r="N818" s="5">
        <v>50</v>
      </c>
      <c r="O818">
        <f>M818*N818</f>
        <v>200</v>
      </c>
      <c r="P818" s="14">
        <f>O818*$S$3</f>
        <v>3</v>
      </c>
    </row>
    <row r="819" spans="1:16">
      <c r="A819" s="2">
        <v>818</v>
      </c>
      <c r="B819" s="4">
        <f>YEAR(G819)</f>
        <v>2023</v>
      </c>
      <c r="C819" s="4">
        <f>MONTH(G819)</f>
        <v>5</v>
      </c>
      <c r="D819" s="4">
        <f>DAY(G819)</f>
        <v>18</v>
      </c>
      <c r="E819" s="4" t="str">
        <f>TEXT(G819, "mmmm")</f>
        <v>May</v>
      </c>
      <c r="F819" s="4" t="str">
        <f>TEXT(G819, "dddd")</f>
        <v>Thursday</v>
      </c>
      <c r="G819" s="3">
        <v>45064</v>
      </c>
      <c r="H819" s="4" t="s">
        <v>845</v>
      </c>
      <c r="I819" s="4" t="s">
        <v>16</v>
      </c>
      <c r="J819" s="4">
        <v>30</v>
      </c>
      <c r="K819" s="4" t="str" cm="1">
        <f t="array" ref="K819">_xlfn.IFS(J819&lt;30, "Young Adult", J819&lt;50, "Adult", J819&gt;=50, "Senior")</f>
        <v>Adult</v>
      </c>
      <c r="L819" s="4" t="s">
        <v>24</v>
      </c>
      <c r="M819" s="4">
        <v>1</v>
      </c>
      <c r="N819" s="5">
        <v>500</v>
      </c>
      <c r="O819">
        <f>M819*N819</f>
        <v>500</v>
      </c>
      <c r="P819" s="14">
        <f>O819*$S$3</f>
        <v>7.5</v>
      </c>
    </row>
    <row r="820" spans="1:16">
      <c r="A820" s="2">
        <v>819</v>
      </c>
      <c r="B820" s="4">
        <f>YEAR(G820)</f>
        <v>2023</v>
      </c>
      <c r="C820" s="4">
        <f>MONTH(G820)</f>
        <v>6</v>
      </c>
      <c r="D820" s="4">
        <f>DAY(G820)</f>
        <v>15</v>
      </c>
      <c r="E820" s="4" t="str">
        <f>TEXT(G820, "mmmm")</f>
        <v>June</v>
      </c>
      <c r="F820" s="4" t="str">
        <f>TEXT(G820, "dddd")</f>
        <v>Thursday</v>
      </c>
      <c r="G820" s="3">
        <v>45092</v>
      </c>
      <c r="H820" s="4" t="s">
        <v>846</v>
      </c>
      <c r="I820" s="4" t="s">
        <v>20</v>
      </c>
      <c r="J820" s="4">
        <v>35</v>
      </c>
      <c r="K820" s="4" t="str" cm="1">
        <f t="array" ref="K820">_xlfn.IFS(J820&lt;30, "Young Adult", J820&lt;50, "Adult", J820&gt;=50, "Senior")</f>
        <v>Adult</v>
      </c>
      <c r="L820" s="4" t="s">
        <v>17</v>
      </c>
      <c r="M820" s="4">
        <v>2</v>
      </c>
      <c r="N820" s="5">
        <v>50</v>
      </c>
      <c r="O820">
        <f>M820*N820</f>
        <v>100</v>
      </c>
      <c r="P820" s="14">
        <f>O820*$S$3</f>
        <v>1.5</v>
      </c>
    </row>
    <row r="821" spans="1:16">
      <c r="A821" s="2">
        <v>820</v>
      </c>
      <c r="B821" s="4">
        <f>YEAR(G821)</f>
        <v>2023</v>
      </c>
      <c r="C821" s="4">
        <f>MONTH(G821)</f>
        <v>5</v>
      </c>
      <c r="D821" s="4">
        <f>DAY(G821)</f>
        <v>6</v>
      </c>
      <c r="E821" s="4" t="str">
        <f>TEXT(G821, "mmmm")</f>
        <v>May</v>
      </c>
      <c r="F821" s="4" t="str">
        <f>TEXT(G821, "dddd")</f>
        <v>Saturday</v>
      </c>
      <c r="G821" s="3">
        <v>45052</v>
      </c>
      <c r="H821" s="4" t="s">
        <v>847</v>
      </c>
      <c r="I821" s="4" t="s">
        <v>16</v>
      </c>
      <c r="J821" s="4">
        <v>49</v>
      </c>
      <c r="K821" s="4" t="str" cm="1">
        <f t="array" ref="K821">_xlfn.IFS(J821&lt;30, "Young Adult", J821&lt;50, "Adult", J821&gt;=50, "Senior")</f>
        <v>Adult</v>
      </c>
      <c r="L821" s="4" t="s">
        <v>24</v>
      </c>
      <c r="M821" s="4">
        <v>4</v>
      </c>
      <c r="N821" s="5">
        <v>50</v>
      </c>
      <c r="O821">
        <f>M821*N821</f>
        <v>200</v>
      </c>
      <c r="P821" s="14">
        <f>O821*$S$3</f>
        <v>3</v>
      </c>
    </row>
    <row r="822" spans="1:16">
      <c r="A822" s="2">
        <v>821</v>
      </c>
      <c r="B822" s="4">
        <f>YEAR(G822)</f>
        <v>2023</v>
      </c>
      <c r="C822" s="4">
        <f>MONTH(G822)</f>
        <v>2</v>
      </c>
      <c r="D822" s="4">
        <f>DAY(G822)</f>
        <v>14</v>
      </c>
      <c r="E822" s="4" t="str">
        <f>TEXT(G822, "mmmm")</f>
        <v>February</v>
      </c>
      <c r="F822" s="4" t="str">
        <f>TEXT(G822, "dddd")</f>
        <v>Tuesday</v>
      </c>
      <c r="G822" s="3">
        <v>44971</v>
      </c>
      <c r="H822" s="4" t="s">
        <v>848</v>
      </c>
      <c r="I822" s="4" t="s">
        <v>16</v>
      </c>
      <c r="J822" s="4">
        <v>49</v>
      </c>
      <c r="K822" s="4" t="str" cm="1">
        <f t="array" ref="K822">_xlfn.IFS(J822&lt;30, "Young Adult", J822&lt;50, "Adult", J822&gt;=50, "Senior")</f>
        <v>Adult</v>
      </c>
      <c r="L822" s="4" t="s">
        <v>24</v>
      </c>
      <c r="M822" s="4">
        <v>1</v>
      </c>
      <c r="N822" s="5">
        <v>300</v>
      </c>
      <c r="O822">
        <f>M822*N822</f>
        <v>300</v>
      </c>
      <c r="P822" s="14">
        <f>O822*$S$3</f>
        <v>4.5</v>
      </c>
    </row>
    <row r="823" spans="1:16">
      <c r="A823" s="2">
        <v>822</v>
      </c>
      <c r="B823" s="4">
        <f>YEAR(G823)</f>
        <v>2023</v>
      </c>
      <c r="C823" s="4">
        <f>MONTH(G823)</f>
        <v>5</v>
      </c>
      <c r="D823" s="4">
        <f>DAY(G823)</f>
        <v>23</v>
      </c>
      <c r="E823" s="4" t="str">
        <f>TEXT(G823, "mmmm")</f>
        <v>May</v>
      </c>
      <c r="F823" s="4" t="str">
        <f>TEXT(G823, "dddd")</f>
        <v>Tuesday</v>
      </c>
      <c r="G823" s="3">
        <v>45069</v>
      </c>
      <c r="H823" s="4" t="s">
        <v>849</v>
      </c>
      <c r="I823" s="4" t="s">
        <v>20</v>
      </c>
      <c r="J823" s="4">
        <v>52</v>
      </c>
      <c r="K823" s="4" t="str" cm="1">
        <f t="array" ref="K823">_xlfn.IFS(J823&lt;30, "Young Adult", J823&lt;50, "Adult", J823&gt;=50, "Senior")</f>
        <v>Senior</v>
      </c>
      <c r="L823" s="4" t="s">
        <v>17</v>
      </c>
      <c r="M823" s="4">
        <v>3</v>
      </c>
      <c r="N823" s="5">
        <v>50</v>
      </c>
      <c r="O823">
        <f>M823*N823</f>
        <v>150</v>
      </c>
      <c r="P823" s="14">
        <f>O823*$S$3</f>
        <v>2.25</v>
      </c>
    </row>
    <row r="824" spans="1:16">
      <c r="A824" s="2">
        <v>823</v>
      </c>
      <c r="B824" s="4">
        <f>YEAR(G824)</f>
        <v>2023</v>
      </c>
      <c r="C824" s="4">
        <f>MONTH(G824)</f>
        <v>8</v>
      </c>
      <c r="D824" s="4">
        <f>DAY(G824)</f>
        <v>19</v>
      </c>
      <c r="E824" s="4" t="str">
        <f>TEXT(G824, "mmmm")</f>
        <v>August</v>
      </c>
      <c r="F824" s="4" t="str">
        <f>TEXT(G824, "dddd")</f>
        <v>Saturday</v>
      </c>
      <c r="G824" s="3">
        <v>45157</v>
      </c>
      <c r="H824" s="4" t="s">
        <v>850</v>
      </c>
      <c r="I824" s="4" t="s">
        <v>20</v>
      </c>
      <c r="J824" s="4">
        <v>56</v>
      </c>
      <c r="K824" s="4" t="str" cm="1">
        <f t="array" ref="K824">_xlfn.IFS(J824&lt;30, "Young Adult", J824&lt;50, "Adult", J824&gt;=50, "Senior")</f>
        <v>Senior</v>
      </c>
      <c r="L824" s="4" t="s">
        <v>24</v>
      </c>
      <c r="M824" s="4">
        <v>2</v>
      </c>
      <c r="N824" s="5">
        <v>50</v>
      </c>
      <c r="O824">
        <f>M824*N824</f>
        <v>100</v>
      </c>
      <c r="P824" s="14">
        <f>O824*$S$3</f>
        <v>1.5</v>
      </c>
    </row>
    <row r="825" spans="1:16">
      <c r="A825" s="2">
        <v>824</v>
      </c>
      <c r="B825" s="4">
        <f>YEAR(G825)</f>
        <v>2023</v>
      </c>
      <c r="C825" s="4">
        <f>MONTH(G825)</f>
        <v>5</v>
      </c>
      <c r="D825" s="4">
        <f>DAY(G825)</f>
        <v>5</v>
      </c>
      <c r="E825" s="4" t="str">
        <f>TEXT(G825, "mmmm")</f>
        <v>May</v>
      </c>
      <c r="F825" s="4" t="str">
        <f>TEXT(G825, "dddd")</f>
        <v>Friday</v>
      </c>
      <c r="G825" s="3">
        <v>45051</v>
      </c>
      <c r="H825" s="4" t="s">
        <v>851</v>
      </c>
      <c r="I825" s="4" t="s">
        <v>16</v>
      </c>
      <c r="J825" s="4">
        <v>63</v>
      </c>
      <c r="K825" s="4" t="str" cm="1">
        <f t="array" ref="K825">_xlfn.IFS(J825&lt;30, "Young Adult", J825&lt;50, "Adult", J825&gt;=50, "Senior")</f>
        <v>Senior</v>
      </c>
      <c r="L825" s="4" t="s">
        <v>21</v>
      </c>
      <c r="M825" s="4">
        <v>4</v>
      </c>
      <c r="N825" s="5">
        <v>30</v>
      </c>
      <c r="O825">
        <f>M825*N825</f>
        <v>120</v>
      </c>
      <c r="P825" s="14">
        <f>O825*$S$3</f>
        <v>1.7999999999999998</v>
      </c>
    </row>
    <row r="826" spans="1:16">
      <c r="A826" s="2">
        <v>825</v>
      </c>
      <c r="B826" s="4">
        <f>YEAR(G826)</f>
        <v>2023</v>
      </c>
      <c r="C826" s="4">
        <f>MONTH(G826)</f>
        <v>8</v>
      </c>
      <c r="D826" s="4">
        <f>DAY(G826)</f>
        <v>26</v>
      </c>
      <c r="E826" s="4" t="str">
        <f>TEXT(G826, "mmmm")</f>
        <v>August</v>
      </c>
      <c r="F826" s="4" t="str">
        <f>TEXT(G826, "dddd")</f>
        <v>Saturday</v>
      </c>
      <c r="G826" s="3">
        <v>45164</v>
      </c>
      <c r="H826" s="4" t="s">
        <v>852</v>
      </c>
      <c r="I826" s="4" t="s">
        <v>20</v>
      </c>
      <c r="J826" s="4">
        <v>46</v>
      </c>
      <c r="K826" s="4" t="str" cm="1">
        <f t="array" ref="K826">_xlfn.IFS(J826&lt;30, "Young Adult", J826&lt;50, "Adult", J826&gt;=50, "Senior")</f>
        <v>Adult</v>
      </c>
      <c r="L826" s="4" t="s">
        <v>17</v>
      </c>
      <c r="M826" s="4">
        <v>1</v>
      </c>
      <c r="N826" s="5">
        <v>25</v>
      </c>
      <c r="O826">
        <f>M826*N826</f>
        <v>25</v>
      </c>
      <c r="P826" s="14">
        <f>O826*$S$3</f>
        <v>0.375</v>
      </c>
    </row>
    <row r="827" spans="1:16">
      <c r="A827" s="2">
        <v>826</v>
      </c>
      <c r="B827" s="4">
        <f>YEAR(G827)</f>
        <v>2023</v>
      </c>
      <c r="C827" s="4">
        <f>MONTH(G827)</f>
        <v>10</v>
      </c>
      <c r="D827" s="4">
        <f>DAY(G827)</f>
        <v>19</v>
      </c>
      <c r="E827" s="4" t="str">
        <f>TEXT(G827, "mmmm")</f>
        <v>October</v>
      </c>
      <c r="F827" s="4" t="str">
        <f>TEXT(G827, "dddd")</f>
        <v>Thursday</v>
      </c>
      <c r="G827" s="3">
        <v>45218</v>
      </c>
      <c r="H827" s="4" t="s">
        <v>853</v>
      </c>
      <c r="I827" s="4" t="s">
        <v>20</v>
      </c>
      <c r="J827" s="4">
        <v>46</v>
      </c>
      <c r="K827" s="4" t="str" cm="1">
        <f t="array" ref="K827">_xlfn.IFS(J827&lt;30, "Young Adult", J827&lt;50, "Adult", J827&gt;=50, "Senior")</f>
        <v>Adult</v>
      </c>
      <c r="L827" s="4" t="s">
        <v>21</v>
      </c>
      <c r="M827" s="4">
        <v>1</v>
      </c>
      <c r="N827" s="5">
        <v>300</v>
      </c>
      <c r="O827">
        <f>M827*N827</f>
        <v>300</v>
      </c>
      <c r="P827" s="14">
        <f>O827*$S$3</f>
        <v>4.5</v>
      </c>
    </row>
    <row r="828" spans="1:16">
      <c r="A828" s="2">
        <v>827</v>
      </c>
      <c r="B828" s="4">
        <f>YEAR(G828)</f>
        <v>2023</v>
      </c>
      <c r="C828" s="4">
        <f>MONTH(G828)</f>
        <v>11</v>
      </c>
      <c r="D828" s="4">
        <f>DAY(G828)</f>
        <v>9</v>
      </c>
      <c r="E828" s="4" t="str">
        <f>TEXT(G828, "mmmm")</f>
        <v>November</v>
      </c>
      <c r="F828" s="4" t="str">
        <f>TEXT(G828, "dddd")</f>
        <v>Thursday</v>
      </c>
      <c r="G828" s="3">
        <v>45239</v>
      </c>
      <c r="H828" s="4" t="s">
        <v>854</v>
      </c>
      <c r="I828" s="4" t="s">
        <v>16</v>
      </c>
      <c r="J828" s="4">
        <v>61</v>
      </c>
      <c r="K828" s="4" t="str" cm="1">
        <f t="array" ref="K828">_xlfn.IFS(J828&lt;30, "Young Adult", J828&lt;50, "Adult", J828&gt;=50, "Senior")</f>
        <v>Senior</v>
      </c>
      <c r="L828" s="4" t="s">
        <v>17</v>
      </c>
      <c r="M828" s="4">
        <v>3</v>
      </c>
      <c r="N828" s="5">
        <v>300</v>
      </c>
      <c r="O828">
        <f>M828*N828</f>
        <v>900</v>
      </c>
      <c r="P828" s="14">
        <f>O828*$S$3</f>
        <v>13.5</v>
      </c>
    </row>
    <row r="829" spans="1:16">
      <c r="A829" s="2">
        <v>828</v>
      </c>
      <c r="B829" s="4">
        <f>YEAR(G829)</f>
        <v>2023</v>
      </c>
      <c r="C829" s="4">
        <f>MONTH(G829)</f>
        <v>12</v>
      </c>
      <c r="D829" s="4">
        <f>DAY(G829)</f>
        <v>9</v>
      </c>
      <c r="E829" s="4" t="str">
        <f>TEXT(G829, "mmmm")</f>
        <v>December</v>
      </c>
      <c r="F829" s="4" t="str">
        <f>TEXT(G829, "dddd")</f>
        <v>Saturday</v>
      </c>
      <c r="G829" s="3">
        <v>45269</v>
      </c>
      <c r="H829" s="4" t="s">
        <v>855</v>
      </c>
      <c r="I829" s="4" t="s">
        <v>20</v>
      </c>
      <c r="J829" s="4">
        <v>33</v>
      </c>
      <c r="K829" s="4" t="str" cm="1">
        <f t="array" ref="K829">_xlfn.IFS(J829&lt;30, "Young Adult", J829&lt;50, "Adult", J829&gt;=50, "Senior")</f>
        <v>Adult</v>
      </c>
      <c r="L829" s="4" t="s">
        <v>24</v>
      </c>
      <c r="M829" s="4">
        <v>4</v>
      </c>
      <c r="N829" s="5">
        <v>300</v>
      </c>
      <c r="O829">
        <f>M829*N829</f>
        <v>1200</v>
      </c>
      <c r="P829" s="14">
        <f>O829*$S$3</f>
        <v>18</v>
      </c>
    </row>
    <row r="830" spans="1:16">
      <c r="A830" s="2">
        <v>829</v>
      </c>
      <c r="B830" s="4">
        <f>YEAR(G830)</f>
        <v>2023</v>
      </c>
      <c r="C830" s="4">
        <f>MONTH(G830)</f>
        <v>7</v>
      </c>
      <c r="D830" s="4">
        <f>DAY(G830)</f>
        <v>14</v>
      </c>
      <c r="E830" s="4" t="str">
        <f>TEXT(G830, "mmmm")</f>
        <v>July</v>
      </c>
      <c r="F830" s="4" t="str">
        <f>TEXT(G830, "dddd")</f>
        <v>Friday</v>
      </c>
      <c r="G830" s="3">
        <v>45121</v>
      </c>
      <c r="H830" s="4" t="s">
        <v>856</v>
      </c>
      <c r="I830" s="4" t="s">
        <v>16</v>
      </c>
      <c r="J830" s="4">
        <v>61</v>
      </c>
      <c r="K830" s="4" t="str" cm="1">
        <f t="array" ref="K830">_xlfn.IFS(J830&lt;30, "Young Adult", J830&lt;50, "Adult", J830&gt;=50, "Senior")</f>
        <v>Senior</v>
      </c>
      <c r="L830" s="4" t="s">
        <v>17</v>
      </c>
      <c r="M830" s="4">
        <v>3</v>
      </c>
      <c r="N830" s="5">
        <v>30</v>
      </c>
      <c r="O830">
        <f>M830*N830</f>
        <v>90</v>
      </c>
      <c r="P830" s="14">
        <f>O830*$S$3</f>
        <v>1.3499999999999999</v>
      </c>
    </row>
    <row r="831" spans="1:16">
      <c r="A831" s="2">
        <v>830</v>
      </c>
      <c r="B831" s="4">
        <f>YEAR(G831)</f>
        <v>2023</v>
      </c>
      <c r="C831" s="4">
        <f>MONTH(G831)</f>
        <v>6</v>
      </c>
      <c r="D831" s="4">
        <f>DAY(G831)</f>
        <v>22</v>
      </c>
      <c r="E831" s="4" t="str">
        <f>TEXT(G831, "mmmm")</f>
        <v>June</v>
      </c>
      <c r="F831" s="4" t="str">
        <f>TEXT(G831, "dddd")</f>
        <v>Thursday</v>
      </c>
      <c r="G831" s="3">
        <v>45099</v>
      </c>
      <c r="H831" s="4" t="s">
        <v>857</v>
      </c>
      <c r="I831" s="4" t="s">
        <v>20</v>
      </c>
      <c r="J831" s="4">
        <v>64</v>
      </c>
      <c r="K831" s="4" t="str" cm="1">
        <f t="array" ref="K831">_xlfn.IFS(J831&lt;30, "Young Adult", J831&lt;50, "Adult", J831&gt;=50, "Senior")</f>
        <v>Senior</v>
      </c>
      <c r="L831" s="4" t="s">
        <v>21</v>
      </c>
      <c r="M831" s="4">
        <v>3</v>
      </c>
      <c r="N831" s="5">
        <v>50</v>
      </c>
      <c r="O831">
        <f>M831*N831</f>
        <v>150</v>
      </c>
      <c r="P831" s="14">
        <f>O831*$S$3</f>
        <v>2.25</v>
      </c>
    </row>
    <row r="832" spans="1:16">
      <c r="A832" s="2">
        <v>831</v>
      </c>
      <c r="B832" s="4">
        <f>YEAR(G832)</f>
        <v>2023</v>
      </c>
      <c r="C832" s="4">
        <f>MONTH(G832)</f>
        <v>1</v>
      </c>
      <c r="D832" s="4">
        <f>DAY(G832)</f>
        <v>15</v>
      </c>
      <c r="E832" s="4" t="str">
        <f>TEXT(G832, "mmmm")</f>
        <v>January</v>
      </c>
      <c r="F832" s="4" t="str">
        <f>TEXT(G832, "dddd")</f>
        <v>Sunday</v>
      </c>
      <c r="G832" s="3">
        <v>44941</v>
      </c>
      <c r="H832" s="4" t="s">
        <v>858</v>
      </c>
      <c r="I832" s="4" t="s">
        <v>16</v>
      </c>
      <c r="J832" s="4">
        <v>27</v>
      </c>
      <c r="K832" s="4" t="str" cm="1">
        <f t="array" ref="K832">_xlfn.IFS(J832&lt;30, "Young Adult", J832&lt;50, "Adult", J832&gt;=50, "Senior")</f>
        <v>Young Adult</v>
      </c>
      <c r="L832" s="4" t="s">
        <v>24</v>
      </c>
      <c r="M832" s="4">
        <v>4</v>
      </c>
      <c r="N832" s="5">
        <v>25</v>
      </c>
      <c r="O832">
        <f>M832*N832</f>
        <v>100</v>
      </c>
      <c r="P832" s="14">
        <f>O832*$S$3</f>
        <v>1.5</v>
      </c>
    </row>
    <row r="833" spans="1:16">
      <c r="A833" s="2">
        <v>832</v>
      </c>
      <c r="B833" s="4">
        <f>YEAR(G833)</f>
        <v>2023</v>
      </c>
      <c r="C833" s="4">
        <f>MONTH(G833)</f>
        <v>9</v>
      </c>
      <c r="D833" s="4">
        <f>DAY(G833)</f>
        <v>11</v>
      </c>
      <c r="E833" s="4" t="str">
        <f>TEXT(G833, "mmmm")</f>
        <v>September</v>
      </c>
      <c r="F833" s="4" t="str">
        <f>TEXT(G833, "dddd")</f>
        <v>Monday</v>
      </c>
      <c r="G833" s="3">
        <v>45180</v>
      </c>
      <c r="H833" s="4" t="s">
        <v>859</v>
      </c>
      <c r="I833" s="4" t="s">
        <v>16</v>
      </c>
      <c r="J833" s="4">
        <v>47</v>
      </c>
      <c r="K833" s="4" t="str" cm="1">
        <f t="array" ref="K833">_xlfn.IFS(J833&lt;30, "Young Adult", J833&lt;50, "Adult", J833&gt;=50, "Senior")</f>
        <v>Adult</v>
      </c>
      <c r="L833" s="4" t="s">
        <v>17</v>
      </c>
      <c r="M833" s="4">
        <v>4</v>
      </c>
      <c r="N833" s="5">
        <v>500</v>
      </c>
      <c r="O833">
        <f>M833*N833</f>
        <v>2000</v>
      </c>
      <c r="P833" s="14">
        <f>O833*$S$3</f>
        <v>30</v>
      </c>
    </row>
    <row r="834" spans="1:16">
      <c r="A834" s="2">
        <v>833</v>
      </c>
      <c r="B834" s="4">
        <f>YEAR(G834)</f>
        <v>2023</v>
      </c>
      <c r="C834" s="4">
        <f>MONTH(G834)</f>
        <v>6</v>
      </c>
      <c r="D834" s="4">
        <f>DAY(G834)</f>
        <v>16</v>
      </c>
      <c r="E834" s="4" t="str">
        <f>TEXT(G834, "mmmm")</f>
        <v>June</v>
      </c>
      <c r="F834" s="4" t="str">
        <f>TEXT(G834, "dddd")</f>
        <v>Friday</v>
      </c>
      <c r="G834" s="3">
        <v>45093</v>
      </c>
      <c r="H834" s="4" t="s">
        <v>860</v>
      </c>
      <c r="I834" s="4" t="s">
        <v>16</v>
      </c>
      <c r="J834" s="4">
        <v>42</v>
      </c>
      <c r="K834" s="4" t="str" cm="1">
        <f t="array" ref="K834">_xlfn.IFS(J834&lt;30, "Young Adult", J834&lt;50, "Adult", J834&gt;=50, "Senior")</f>
        <v>Adult</v>
      </c>
      <c r="L834" s="4" t="s">
        <v>17</v>
      </c>
      <c r="M834" s="4">
        <v>4</v>
      </c>
      <c r="N834" s="5">
        <v>50</v>
      </c>
      <c r="O834">
        <f>M834*N834</f>
        <v>200</v>
      </c>
      <c r="P834" s="14">
        <f>O834*$S$3</f>
        <v>3</v>
      </c>
    </row>
    <row r="835" spans="1:16">
      <c r="A835" s="2">
        <v>834</v>
      </c>
      <c r="B835" s="4">
        <f>YEAR(G835)</f>
        <v>2023</v>
      </c>
      <c r="C835" s="4">
        <f>MONTH(G835)</f>
        <v>4</v>
      </c>
      <c r="D835" s="4">
        <f>DAY(G835)</f>
        <v>4</v>
      </c>
      <c r="E835" s="4" t="str">
        <f>TEXT(G835, "mmmm")</f>
        <v>April</v>
      </c>
      <c r="F835" s="4" t="str">
        <f>TEXT(G835, "dddd")</f>
        <v>Tuesday</v>
      </c>
      <c r="G835" s="3">
        <v>45020</v>
      </c>
      <c r="H835" s="4" t="s">
        <v>861</v>
      </c>
      <c r="I835" s="4" t="s">
        <v>20</v>
      </c>
      <c r="J835" s="4">
        <v>56</v>
      </c>
      <c r="K835" s="4" t="str" cm="1">
        <f t="array" ref="K835">_xlfn.IFS(J835&lt;30, "Young Adult", J835&lt;50, "Adult", J835&gt;=50, "Senior")</f>
        <v>Senior</v>
      </c>
      <c r="L835" s="4" t="s">
        <v>17</v>
      </c>
      <c r="M835" s="4">
        <v>2</v>
      </c>
      <c r="N835" s="5">
        <v>30</v>
      </c>
      <c r="O835">
        <f>M835*N835</f>
        <v>60</v>
      </c>
      <c r="P835" s="14">
        <f>O835*$S$3</f>
        <v>0.89999999999999991</v>
      </c>
    </row>
    <row r="836" spans="1:16">
      <c r="A836" s="2">
        <v>835</v>
      </c>
      <c r="B836" s="4">
        <f>YEAR(G836)</f>
        <v>2023</v>
      </c>
      <c r="C836" s="4">
        <f>MONTH(G836)</f>
        <v>9</v>
      </c>
      <c r="D836" s="4">
        <f>DAY(G836)</f>
        <v>7</v>
      </c>
      <c r="E836" s="4" t="str">
        <f>TEXT(G836, "mmmm")</f>
        <v>September</v>
      </c>
      <c r="F836" s="4" t="str">
        <f>TEXT(G836, "dddd")</f>
        <v>Thursday</v>
      </c>
      <c r="G836" s="3">
        <v>45176</v>
      </c>
      <c r="H836" s="4" t="s">
        <v>862</v>
      </c>
      <c r="I836" s="4" t="s">
        <v>16</v>
      </c>
      <c r="J836" s="4">
        <v>37</v>
      </c>
      <c r="K836" s="4" t="str" cm="1">
        <f t="array" ref="K836">_xlfn.IFS(J836&lt;30, "Young Adult", J836&lt;50, "Adult", J836&gt;=50, "Senior")</f>
        <v>Adult</v>
      </c>
      <c r="L836" s="4" t="s">
        <v>21</v>
      </c>
      <c r="M836" s="4">
        <v>4</v>
      </c>
      <c r="N836" s="5">
        <v>50</v>
      </c>
      <c r="O836">
        <f>M836*N836</f>
        <v>200</v>
      </c>
      <c r="P836" s="14">
        <f>O836*$S$3</f>
        <v>3</v>
      </c>
    </row>
    <row r="837" spans="1:16">
      <c r="A837" s="2">
        <v>836</v>
      </c>
      <c r="B837" s="4">
        <f>YEAR(G837)</f>
        <v>2023</v>
      </c>
      <c r="C837" s="4">
        <f>MONTH(G837)</f>
        <v>4</v>
      </c>
      <c r="D837" s="4">
        <f>DAY(G837)</f>
        <v>19</v>
      </c>
      <c r="E837" s="4" t="str">
        <f>TEXT(G837, "mmmm")</f>
        <v>April</v>
      </c>
      <c r="F837" s="4" t="str">
        <f>TEXT(G837, "dddd")</f>
        <v>Wednesday</v>
      </c>
      <c r="G837" s="3">
        <v>45035</v>
      </c>
      <c r="H837" s="4" t="s">
        <v>863</v>
      </c>
      <c r="I837" s="4" t="s">
        <v>20</v>
      </c>
      <c r="J837" s="4">
        <v>22</v>
      </c>
      <c r="K837" s="4" t="str" cm="1">
        <f t="array" ref="K837">_xlfn.IFS(J837&lt;30, "Young Adult", J837&lt;50, "Adult", J837&gt;=50, "Senior")</f>
        <v>Young Adult</v>
      </c>
      <c r="L837" s="4" t="s">
        <v>21</v>
      </c>
      <c r="M837" s="4">
        <v>1</v>
      </c>
      <c r="N837" s="5">
        <v>50</v>
      </c>
      <c r="O837">
        <f>M837*N837</f>
        <v>50</v>
      </c>
      <c r="P837" s="14">
        <f>O837*$S$3</f>
        <v>0.75</v>
      </c>
    </row>
    <row r="838" spans="1:16">
      <c r="A838" s="2">
        <v>837</v>
      </c>
      <c r="B838" s="4">
        <f>YEAR(G838)</f>
        <v>2023</v>
      </c>
      <c r="C838" s="4">
        <f>MONTH(G838)</f>
        <v>7</v>
      </c>
      <c r="D838" s="4">
        <f>DAY(G838)</f>
        <v>1</v>
      </c>
      <c r="E838" s="4" t="str">
        <f>TEXT(G838, "mmmm")</f>
        <v>July</v>
      </c>
      <c r="F838" s="4" t="str">
        <f>TEXT(G838, "dddd")</f>
        <v>Saturday</v>
      </c>
      <c r="G838" s="3">
        <v>45108</v>
      </c>
      <c r="H838" s="4" t="s">
        <v>864</v>
      </c>
      <c r="I838" s="4" t="s">
        <v>16</v>
      </c>
      <c r="J838" s="4">
        <v>18</v>
      </c>
      <c r="K838" s="4" t="str" cm="1">
        <f t="array" ref="K838">_xlfn.IFS(J838&lt;30, "Young Adult", J838&lt;50, "Adult", J838&gt;=50, "Senior")</f>
        <v>Young Adult</v>
      </c>
      <c r="L838" s="4" t="s">
        <v>17</v>
      </c>
      <c r="M838" s="4">
        <v>3</v>
      </c>
      <c r="N838" s="5">
        <v>30</v>
      </c>
      <c r="O838">
        <f>M838*N838</f>
        <v>90</v>
      </c>
      <c r="P838" s="14">
        <f>O838*$S$3</f>
        <v>1.3499999999999999</v>
      </c>
    </row>
    <row r="839" spans="1:16">
      <c r="A839" s="2">
        <v>838</v>
      </c>
      <c r="B839" s="4">
        <f>YEAR(G839)</f>
        <v>2023</v>
      </c>
      <c r="C839" s="4">
        <f>MONTH(G839)</f>
        <v>5</v>
      </c>
      <c r="D839" s="4">
        <f>DAY(G839)</f>
        <v>13</v>
      </c>
      <c r="E839" s="4" t="str">
        <f>TEXT(G839, "mmmm")</f>
        <v>May</v>
      </c>
      <c r="F839" s="4" t="str">
        <f>TEXT(G839, "dddd")</f>
        <v>Saturday</v>
      </c>
      <c r="G839" s="3">
        <v>45059</v>
      </c>
      <c r="H839" s="4" t="s">
        <v>865</v>
      </c>
      <c r="I839" s="4" t="s">
        <v>16</v>
      </c>
      <c r="J839" s="4">
        <v>47</v>
      </c>
      <c r="K839" s="4" t="str" cm="1">
        <f t="array" ref="K839">_xlfn.IFS(J839&lt;30, "Young Adult", J839&lt;50, "Adult", J839&gt;=50, "Senior")</f>
        <v>Adult</v>
      </c>
      <c r="L839" s="4" t="s">
        <v>24</v>
      </c>
      <c r="M839" s="4">
        <v>2</v>
      </c>
      <c r="N839" s="5">
        <v>300</v>
      </c>
      <c r="O839">
        <f>M839*N839</f>
        <v>600</v>
      </c>
      <c r="P839" s="14">
        <f>O839*$S$3</f>
        <v>9</v>
      </c>
    </row>
    <row r="840" spans="1:16">
      <c r="A840" s="2">
        <v>839</v>
      </c>
      <c r="B840" s="4">
        <f>YEAR(G840)</f>
        <v>2023</v>
      </c>
      <c r="C840" s="4">
        <f>MONTH(G840)</f>
        <v>6</v>
      </c>
      <c r="D840" s="4">
        <f>DAY(G840)</f>
        <v>24</v>
      </c>
      <c r="E840" s="4" t="str">
        <f>TEXT(G840, "mmmm")</f>
        <v>June</v>
      </c>
      <c r="F840" s="4" t="str">
        <f>TEXT(G840, "dddd")</f>
        <v>Saturday</v>
      </c>
      <c r="G840" s="3">
        <v>45101</v>
      </c>
      <c r="H840" s="4" t="s">
        <v>866</v>
      </c>
      <c r="I840" s="4" t="s">
        <v>20</v>
      </c>
      <c r="J840" s="4">
        <v>20</v>
      </c>
      <c r="K840" s="4" t="str" cm="1">
        <f t="array" ref="K840">_xlfn.IFS(J840&lt;30, "Young Adult", J840&lt;50, "Adult", J840&gt;=50, "Senior")</f>
        <v>Young Adult</v>
      </c>
      <c r="L840" s="4" t="s">
        <v>24</v>
      </c>
      <c r="M840" s="4">
        <v>4</v>
      </c>
      <c r="N840" s="5">
        <v>300</v>
      </c>
      <c r="O840">
        <f>M840*N840</f>
        <v>1200</v>
      </c>
      <c r="P840" s="14">
        <f>O840*$S$3</f>
        <v>18</v>
      </c>
    </row>
    <row r="841" spans="1:16">
      <c r="A841" s="2">
        <v>840</v>
      </c>
      <c r="B841" s="4">
        <f>YEAR(G841)</f>
        <v>2023</v>
      </c>
      <c r="C841" s="4">
        <f>MONTH(G841)</f>
        <v>5</v>
      </c>
      <c r="D841" s="4">
        <f>DAY(G841)</f>
        <v>24</v>
      </c>
      <c r="E841" s="4" t="str">
        <f>TEXT(G841, "mmmm")</f>
        <v>May</v>
      </c>
      <c r="F841" s="4" t="str">
        <f>TEXT(G841, "dddd")</f>
        <v>Wednesday</v>
      </c>
      <c r="G841" s="3">
        <v>45070</v>
      </c>
      <c r="H841" s="4" t="s">
        <v>867</v>
      </c>
      <c r="I841" s="4" t="s">
        <v>16</v>
      </c>
      <c r="J841" s="4">
        <v>62</v>
      </c>
      <c r="K841" s="4" t="str" cm="1">
        <f t="array" ref="K841">_xlfn.IFS(J841&lt;30, "Young Adult", J841&lt;50, "Adult", J841&gt;=50, "Senior")</f>
        <v>Senior</v>
      </c>
      <c r="L841" s="4" t="s">
        <v>21</v>
      </c>
      <c r="M841" s="4">
        <v>2</v>
      </c>
      <c r="N841" s="5">
        <v>25</v>
      </c>
      <c r="O841">
        <f>M841*N841</f>
        <v>50</v>
      </c>
      <c r="P841" s="14">
        <f>O841*$S$3</f>
        <v>0.75</v>
      </c>
    </row>
    <row r="842" spans="1:16">
      <c r="A842" s="2">
        <v>841</v>
      </c>
      <c r="B842" s="4">
        <f>YEAR(G842)</f>
        <v>2023</v>
      </c>
      <c r="C842" s="4">
        <f>MONTH(G842)</f>
        <v>11</v>
      </c>
      <c r="D842" s="4">
        <f>DAY(G842)</f>
        <v>2</v>
      </c>
      <c r="E842" s="4" t="str">
        <f>TEXT(G842, "mmmm")</f>
        <v>November</v>
      </c>
      <c r="F842" s="4" t="str">
        <f>TEXT(G842, "dddd")</f>
        <v>Thursday</v>
      </c>
      <c r="G842" s="3">
        <v>45232</v>
      </c>
      <c r="H842" s="4" t="s">
        <v>868</v>
      </c>
      <c r="I842" s="4" t="s">
        <v>16</v>
      </c>
      <c r="J842" s="4">
        <v>31</v>
      </c>
      <c r="K842" s="4" t="str" cm="1">
        <f t="array" ref="K842">_xlfn.IFS(J842&lt;30, "Young Adult", J842&lt;50, "Adult", J842&gt;=50, "Senior")</f>
        <v>Adult</v>
      </c>
      <c r="L842" s="4" t="s">
        <v>24</v>
      </c>
      <c r="M842" s="4">
        <v>4</v>
      </c>
      <c r="N842" s="5">
        <v>25</v>
      </c>
      <c r="O842">
        <f>M842*N842</f>
        <v>100</v>
      </c>
      <c r="P842" s="14">
        <f>O842*$S$3</f>
        <v>1.5</v>
      </c>
    </row>
    <row r="843" spans="1:16">
      <c r="A843" s="2">
        <v>842</v>
      </c>
      <c r="B843" s="4">
        <f>YEAR(G843)</f>
        <v>2023</v>
      </c>
      <c r="C843" s="4">
        <f>MONTH(G843)</f>
        <v>12</v>
      </c>
      <c r="D843" s="4">
        <f>DAY(G843)</f>
        <v>26</v>
      </c>
      <c r="E843" s="4" t="str">
        <f>TEXT(G843, "mmmm")</f>
        <v>December</v>
      </c>
      <c r="F843" s="4" t="str">
        <f>TEXT(G843, "dddd")</f>
        <v>Tuesday</v>
      </c>
      <c r="G843" s="3">
        <v>45286</v>
      </c>
      <c r="H843" s="4" t="s">
        <v>869</v>
      </c>
      <c r="I843" s="4" t="s">
        <v>20</v>
      </c>
      <c r="J843" s="4">
        <v>47</v>
      </c>
      <c r="K843" s="4" t="str" cm="1">
        <f t="array" ref="K843">_xlfn.IFS(J843&lt;30, "Young Adult", J843&lt;50, "Adult", J843&gt;=50, "Senior")</f>
        <v>Adult</v>
      </c>
      <c r="L843" s="4" t="s">
        <v>21</v>
      </c>
      <c r="M843" s="4">
        <v>2</v>
      </c>
      <c r="N843" s="5">
        <v>300</v>
      </c>
      <c r="O843">
        <f>M843*N843</f>
        <v>600</v>
      </c>
      <c r="P843" s="14">
        <f>O843*$S$3</f>
        <v>9</v>
      </c>
    </row>
    <row r="844" spans="1:16">
      <c r="A844" s="2">
        <v>843</v>
      </c>
      <c r="B844" s="4">
        <f>YEAR(G844)</f>
        <v>2023</v>
      </c>
      <c r="C844" s="4">
        <f>MONTH(G844)</f>
        <v>5</v>
      </c>
      <c r="D844" s="4">
        <f>DAY(G844)</f>
        <v>22</v>
      </c>
      <c r="E844" s="4" t="str">
        <f>TEXT(G844, "mmmm")</f>
        <v>May</v>
      </c>
      <c r="F844" s="4" t="str">
        <f>TEXT(G844, "dddd")</f>
        <v>Monday</v>
      </c>
      <c r="G844" s="3">
        <v>45068</v>
      </c>
      <c r="H844" s="4" t="s">
        <v>870</v>
      </c>
      <c r="I844" s="4" t="s">
        <v>16</v>
      </c>
      <c r="J844" s="4">
        <v>21</v>
      </c>
      <c r="K844" s="4" t="str" cm="1">
        <f t="array" ref="K844">_xlfn.IFS(J844&lt;30, "Young Adult", J844&lt;50, "Adult", J844&gt;=50, "Senior")</f>
        <v>Young Adult</v>
      </c>
      <c r="L844" s="4" t="s">
        <v>17</v>
      </c>
      <c r="M844" s="4">
        <v>3</v>
      </c>
      <c r="N844" s="5">
        <v>500</v>
      </c>
      <c r="O844">
        <f>M844*N844</f>
        <v>1500</v>
      </c>
      <c r="P844" s="14">
        <f>O844*$S$3</f>
        <v>22.5</v>
      </c>
    </row>
    <row r="845" spans="1:16">
      <c r="A845" s="2">
        <v>844</v>
      </c>
      <c r="B845" s="4">
        <f>YEAR(G845)</f>
        <v>2023</v>
      </c>
      <c r="C845" s="4">
        <f>MONTH(G845)</f>
        <v>10</v>
      </c>
      <c r="D845" s="4">
        <f>DAY(G845)</f>
        <v>12</v>
      </c>
      <c r="E845" s="4" t="str">
        <f>TEXT(G845, "mmmm")</f>
        <v>October</v>
      </c>
      <c r="F845" s="4" t="str">
        <f>TEXT(G845, "dddd")</f>
        <v>Thursday</v>
      </c>
      <c r="G845" s="3">
        <v>45211</v>
      </c>
      <c r="H845" s="4" t="s">
        <v>871</v>
      </c>
      <c r="I845" s="4" t="s">
        <v>16</v>
      </c>
      <c r="J845" s="4">
        <v>35</v>
      </c>
      <c r="K845" s="4" t="str" cm="1">
        <f t="array" ref="K845">_xlfn.IFS(J845&lt;30, "Young Adult", J845&lt;50, "Adult", J845&gt;=50, "Senior")</f>
        <v>Adult</v>
      </c>
      <c r="L845" s="4" t="s">
        <v>21</v>
      </c>
      <c r="M845" s="4">
        <v>3</v>
      </c>
      <c r="N845" s="5">
        <v>50</v>
      </c>
      <c r="O845">
        <f>M845*N845</f>
        <v>150</v>
      </c>
      <c r="P845" s="14">
        <f>O845*$S$3</f>
        <v>2.25</v>
      </c>
    </row>
    <row r="846" spans="1:16">
      <c r="A846" s="2">
        <v>845</v>
      </c>
      <c r="B846" s="4">
        <f>YEAR(G846)</f>
        <v>2023</v>
      </c>
      <c r="C846" s="4">
        <f>MONTH(G846)</f>
        <v>1</v>
      </c>
      <c r="D846" s="4">
        <f>DAY(G846)</f>
        <v>6</v>
      </c>
      <c r="E846" s="4" t="str">
        <f>TEXT(G846, "mmmm")</f>
        <v>January</v>
      </c>
      <c r="F846" s="4" t="str">
        <f>TEXT(G846, "dddd")</f>
        <v>Friday</v>
      </c>
      <c r="G846" s="3">
        <v>44932</v>
      </c>
      <c r="H846" s="4" t="s">
        <v>872</v>
      </c>
      <c r="I846" s="4" t="s">
        <v>16</v>
      </c>
      <c r="J846" s="4">
        <v>54</v>
      </c>
      <c r="K846" s="4" t="str" cm="1">
        <f t="array" ref="K846">_xlfn.IFS(J846&lt;30, "Young Adult", J846&lt;50, "Adult", J846&gt;=50, "Senior")</f>
        <v>Senior</v>
      </c>
      <c r="L846" s="4" t="s">
        <v>21</v>
      </c>
      <c r="M846" s="4">
        <v>1</v>
      </c>
      <c r="N846" s="5">
        <v>500</v>
      </c>
      <c r="O846">
        <f>M846*N846</f>
        <v>500</v>
      </c>
      <c r="P846" s="14">
        <f>O846*$S$3</f>
        <v>7.5</v>
      </c>
    </row>
    <row r="847" spans="1:16">
      <c r="A847" s="2">
        <v>846</v>
      </c>
      <c r="B847" s="4">
        <f>YEAR(G847)</f>
        <v>2023</v>
      </c>
      <c r="C847" s="4">
        <f>MONTH(G847)</f>
        <v>9</v>
      </c>
      <c r="D847" s="4">
        <f>DAY(G847)</f>
        <v>22</v>
      </c>
      <c r="E847" s="4" t="str">
        <f>TEXT(G847, "mmmm")</f>
        <v>September</v>
      </c>
      <c r="F847" s="4" t="str">
        <f>TEXT(G847, "dddd")</f>
        <v>Friday</v>
      </c>
      <c r="G847" s="3">
        <v>45191</v>
      </c>
      <c r="H847" s="4" t="s">
        <v>873</v>
      </c>
      <c r="I847" s="4" t="s">
        <v>16</v>
      </c>
      <c r="J847" s="4">
        <v>42</v>
      </c>
      <c r="K847" s="4" t="str" cm="1">
        <f t="array" ref="K847">_xlfn.IFS(J847&lt;30, "Young Adult", J847&lt;50, "Adult", J847&gt;=50, "Senior")</f>
        <v>Adult</v>
      </c>
      <c r="L847" s="4" t="s">
        <v>17</v>
      </c>
      <c r="M847" s="4">
        <v>1</v>
      </c>
      <c r="N847" s="5">
        <v>50</v>
      </c>
      <c r="O847">
        <f>M847*N847</f>
        <v>50</v>
      </c>
      <c r="P847" s="14">
        <f>O847*$S$3</f>
        <v>0.75</v>
      </c>
    </row>
    <row r="848" spans="1:16">
      <c r="A848" s="2">
        <v>847</v>
      </c>
      <c r="B848" s="4">
        <f>YEAR(G848)</f>
        <v>2023</v>
      </c>
      <c r="C848" s="4">
        <f>MONTH(G848)</f>
        <v>4</v>
      </c>
      <c r="D848" s="4">
        <f>DAY(G848)</f>
        <v>8</v>
      </c>
      <c r="E848" s="4" t="str">
        <f>TEXT(G848, "mmmm")</f>
        <v>April</v>
      </c>
      <c r="F848" s="4" t="str">
        <f>TEXT(G848, "dddd")</f>
        <v>Saturday</v>
      </c>
      <c r="G848" s="3">
        <v>45024</v>
      </c>
      <c r="H848" s="4" t="s">
        <v>874</v>
      </c>
      <c r="I848" s="4" t="s">
        <v>20</v>
      </c>
      <c r="J848" s="4">
        <v>18</v>
      </c>
      <c r="K848" s="4" t="str" cm="1">
        <f t="array" ref="K848">_xlfn.IFS(J848&lt;30, "Young Adult", J848&lt;50, "Adult", J848&gt;=50, "Senior")</f>
        <v>Young Adult</v>
      </c>
      <c r="L848" s="4" t="s">
        <v>24</v>
      </c>
      <c r="M848" s="4">
        <v>4</v>
      </c>
      <c r="N848" s="5">
        <v>300</v>
      </c>
      <c r="O848">
        <f>M848*N848</f>
        <v>1200</v>
      </c>
      <c r="P848" s="14">
        <f>O848*$S$3</f>
        <v>18</v>
      </c>
    </row>
    <row r="849" spans="1:16">
      <c r="A849" s="2">
        <v>848</v>
      </c>
      <c r="B849" s="4">
        <f>YEAR(G849)</f>
        <v>2023</v>
      </c>
      <c r="C849" s="4">
        <f>MONTH(G849)</f>
        <v>2</v>
      </c>
      <c r="D849" s="4">
        <f>DAY(G849)</f>
        <v>13</v>
      </c>
      <c r="E849" s="4" t="str">
        <f>TEXT(G849, "mmmm")</f>
        <v>February</v>
      </c>
      <c r="F849" s="4" t="str">
        <f>TEXT(G849, "dddd")</f>
        <v>Monday</v>
      </c>
      <c r="G849" s="3">
        <v>44970</v>
      </c>
      <c r="H849" s="4" t="s">
        <v>875</v>
      </c>
      <c r="I849" s="4" t="s">
        <v>20</v>
      </c>
      <c r="J849" s="4">
        <v>63</v>
      </c>
      <c r="K849" s="4" t="str" cm="1">
        <f t="array" ref="K849">_xlfn.IFS(J849&lt;30, "Young Adult", J849&lt;50, "Adult", J849&gt;=50, "Senior")</f>
        <v>Senior</v>
      </c>
      <c r="L849" s="4" t="s">
        <v>21</v>
      </c>
      <c r="M849" s="4">
        <v>3</v>
      </c>
      <c r="N849" s="5">
        <v>25</v>
      </c>
      <c r="O849">
        <f>M849*N849</f>
        <v>75</v>
      </c>
      <c r="P849" s="14">
        <f>O849*$S$3</f>
        <v>1.125</v>
      </c>
    </row>
    <row r="850" spans="1:16">
      <c r="A850" s="2">
        <v>849</v>
      </c>
      <c r="B850" s="4">
        <f>YEAR(G850)</f>
        <v>2023</v>
      </c>
      <c r="C850" s="4">
        <f>MONTH(G850)</f>
        <v>5</v>
      </c>
      <c r="D850" s="4">
        <f>DAY(G850)</f>
        <v>4</v>
      </c>
      <c r="E850" s="4" t="str">
        <f>TEXT(G850, "mmmm")</f>
        <v>May</v>
      </c>
      <c r="F850" s="4" t="str">
        <f>TEXT(G850, "dddd")</f>
        <v>Thursday</v>
      </c>
      <c r="G850" s="3">
        <v>45050</v>
      </c>
      <c r="H850" s="4" t="s">
        <v>876</v>
      </c>
      <c r="I850" s="4" t="s">
        <v>16</v>
      </c>
      <c r="J850" s="4">
        <v>32</v>
      </c>
      <c r="K850" s="4" t="str" cm="1">
        <f t="array" ref="K850">_xlfn.IFS(J850&lt;30, "Young Adult", J850&lt;50, "Adult", J850&gt;=50, "Senior")</f>
        <v>Adult</v>
      </c>
      <c r="L850" s="4" t="s">
        <v>21</v>
      </c>
      <c r="M850" s="4">
        <v>2</v>
      </c>
      <c r="N850" s="5">
        <v>25</v>
      </c>
      <c r="O850">
        <f>M850*N850</f>
        <v>50</v>
      </c>
      <c r="P850" s="14">
        <f>O850*$S$3</f>
        <v>0.75</v>
      </c>
    </row>
    <row r="851" spans="1:16">
      <c r="A851" s="2">
        <v>850</v>
      </c>
      <c r="B851" s="4">
        <f>YEAR(G851)</f>
        <v>2023</v>
      </c>
      <c r="C851" s="4">
        <f>MONTH(G851)</f>
        <v>7</v>
      </c>
      <c r="D851" s="4">
        <f>DAY(G851)</f>
        <v>28</v>
      </c>
      <c r="E851" s="4" t="str">
        <f>TEXT(G851, "mmmm")</f>
        <v>July</v>
      </c>
      <c r="F851" s="4" t="str">
        <f>TEXT(G851, "dddd")</f>
        <v>Friday</v>
      </c>
      <c r="G851" s="3">
        <v>45135</v>
      </c>
      <c r="H851" s="4" t="s">
        <v>877</v>
      </c>
      <c r="I851" s="4" t="s">
        <v>20</v>
      </c>
      <c r="J851" s="4">
        <v>26</v>
      </c>
      <c r="K851" s="4" t="str" cm="1">
        <f t="array" ref="K851">_xlfn.IFS(J851&lt;30, "Young Adult", J851&lt;50, "Adult", J851&gt;=50, "Senior")</f>
        <v>Young Adult</v>
      </c>
      <c r="L851" s="4" t="s">
        <v>17</v>
      </c>
      <c r="M851" s="4">
        <v>2</v>
      </c>
      <c r="N851" s="5">
        <v>500</v>
      </c>
      <c r="O851">
        <f>M851*N851</f>
        <v>1000</v>
      </c>
      <c r="P851" s="14">
        <f>O851*$S$3</f>
        <v>15</v>
      </c>
    </row>
    <row r="852" spans="1:16">
      <c r="A852" s="2">
        <v>851</v>
      </c>
      <c r="B852" s="4">
        <f>YEAR(G852)</f>
        <v>2023</v>
      </c>
      <c r="C852" s="4">
        <f>MONTH(G852)</f>
        <v>9</v>
      </c>
      <c r="D852" s="4">
        <f>DAY(G852)</f>
        <v>8</v>
      </c>
      <c r="E852" s="4" t="str">
        <f>TEXT(G852, "mmmm")</f>
        <v>September</v>
      </c>
      <c r="F852" s="4" t="str">
        <f>TEXT(G852, "dddd")</f>
        <v>Friday</v>
      </c>
      <c r="G852" s="3">
        <v>45177</v>
      </c>
      <c r="H852" s="4" t="s">
        <v>878</v>
      </c>
      <c r="I852" s="4" t="s">
        <v>16</v>
      </c>
      <c r="J852" s="4">
        <v>32</v>
      </c>
      <c r="K852" s="4" t="str" cm="1">
        <f t="array" ref="K852">_xlfn.IFS(J852&lt;30, "Young Adult", J852&lt;50, "Adult", J852&gt;=50, "Senior")</f>
        <v>Adult</v>
      </c>
      <c r="L852" s="4" t="s">
        <v>24</v>
      </c>
      <c r="M852" s="4">
        <v>2</v>
      </c>
      <c r="N852" s="5">
        <v>25</v>
      </c>
      <c r="O852">
        <f>M852*N852</f>
        <v>50</v>
      </c>
      <c r="P852" s="14">
        <f>O852*$S$3</f>
        <v>0.75</v>
      </c>
    </row>
    <row r="853" spans="1:16">
      <c r="A853" s="2">
        <v>852</v>
      </c>
      <c r="B853" s="4">
        <f>YEAR(G853)</f>
        <v>2023</v>
      </c>
      <c r="C853" s="4">
        <f>MONTH(G853)</f>
        <v>10</v>
      </c>
      <c r="D853" s="4">
        <f>DAY(G853)</f>
        <v>12</v>
      </c>
      <c r="E853" s="4" t="str">
        <f>TEXT(G853, "mmmm")</f>
        <v>October</v>
      </c>
      <c r="F853" s="4" t="str">
        <f>TEXT(G853, "dddd")</f>
        <v>Thursday</v>
      </c>
      <c r="G853" s="3">
        <v>45211</v>
      </c>
      <c r="H853" s="4" t="s">
        <v>879</v>
      </c>
      <c r="I853" s="4" t="s">
        <v>20</v>
      </c>
      <c r="J853" s="4">
        <v>41</v>
      </c>
      <c r="K853" s="4" t="str" cm="1">
        <f t="array" ref="K853">_xlfn.IFS(J853&lt;30, "Young Adult", J853&lt;50, "Adult", J853&gt;=50, "Senior")</f>
        <v>Adult</v>
      </c>
      <c r="L853" s="4" t="s">
        <v>21</v>
      </c>
      <c r="M853" s="4">
        <v>1</v>
      </c>
      <c r="N853" s="5">
        <v>300</v>
      </c>
      <c r="O853">
        <f>M853*N853</f>
        <v>300</v>
      </c>
      <c r="P853" s="14">
        <f>O853*$S$3</f>
        <v>4.5</v>
      </c>
    </row>
    <row r="854" spans="1:16">
      <c r="A854" s="2">
        <v>853</v>
      </c>
      <c r="B854" s="4">
        <f>YEAR(G854)</f>
        <v>2023</v>
      </c>
      <c r="C854" s="4">
        <f>MONTH(G854)</f>
        <v>5</v>
      </c>
      <c r="D854" s="4">
        <f>DAY(G854)</f>
        <v>4</v>
      </c>
      <c r="E854" s="4" t="str">
        <f>TEXT(G854, "mmmm")</f>
        <v>May</v>
      </c>
      <c r="F854" s="4" t="str">
        <f>TEXT(G854, "dddd")</f>
        <v>Thursday</v>
      </c>
      <c r="G854" s="3">
        <v>45050</v>
      </c>
      <c r="H854" s="4" t="s">
        <v>880</v>
      </c>
      <c r="I854" s="4" t="s">
        <v>16</v>
      </c>
      <c r="J854" s="4">
        <v>21</v>
      </c>
      <c r="K854" s="4" t="str" cm="1">
        <f t="array" ref="K854">_xlfn.IFS(J854&lt;30, "Young Adult", J854&lt;50, "Adult", J854&gt;=50, "Senior")</f>
        <v>Young Adult</v>
      </c>
      <c r="L854" s="4" t="s">
        <v>17</v>
      </c>
      <c r="M854" s="4">
        <v>2</v>
      </c>
      <c r="N854" s="5">
        <v>500</v>
      </c>
      <c r="O854">
        <f>M854*N854</f>
        <v>1000</v>
      </c>
      <c r="P854" s="14">
        <f>O854*$S$3</f>
        <v>15</v>
      </c>
    </row>
    <row r="855" spans="1:16">
      <c r="A855" s="2">
        <v>854</v>
      </c>
      <c r="B855" s="4">
        <f>YEAR(G855)</f>
        <v>2023</v>
      </c>
      <c r="C855" s="4">
        <f>MONTH(G855)</f>
        <v>12</v>
      </c>
      <c r="D855" s="4">
        <f>DAY(G855)</f>
        <v>20</v>
      </c>
      <c r="E855" s="4" t="str">
        <f>TEXT(G855, "mmmm")</f>
        <v>December</v>
      </c>
      <c r="F855" s="4" t="str">
        <f>TEXT(G855, "dddd")</f>
        <v>Wednesday</v>
      </c>
      <c r="G855" s="3">
        <v>45280</v>
      </c>
      <c r="H855" s="4" t="s">
        <v>881</v>
      </c>
      <c r="I855" s="4" t="s">
        <v>16</v>
      </c>
      <c r="J855" s="4">
        <v>29</v>
      </c>
      <c r="K855" s="4" t="str" cm="1">
        <f t="array" ref="K855">_xlfn.IFS(J855&lt;30, "Young Adult", J855&lt;50, "Adult", J855&gt;=50, "Senior")</f>
        <v>Young Adult</v>
      </c>
      <c r="L855" s="4" t="s">
        <v>21</v>
      </c>
      <c r="M855" s="4">
        <v>1</v>
      </c>
      <c r="N855" s="5">
        <v>50</v>
      </c>
      <c r="O855">
        <f>M855*N855</f>
        <v>50</v>
      </c>
      <c r="P855" s="14">
        <f>O855*$S$3</f>
        <v>0.75</v>
      </c>
    </row>
    <row r="856" spans="1:16">
      <c r="A856" s="2">
        <v>855</v>
      </c>
      <c r="B856" s="4">
        <f>YEAR(G856)</f>
        <v>2023</v>
      </c>
      <c r="C856" s="4">
        <f>MONTH(G856)</f>
        <v>9</v>
      </c>
      <c r="D856" s="4">
        <f>DAY(G856)</f>
        <v>1</v>
      </c>
      <c r="E856" s="4" t="str">
        <f>TEXT(G856, "mmmm")</f>
        <v>September</v>
      </c>
      <c r="F856" s="4" t="str">
        <f>TEXT(G856, "dddd")</f>
        <v>Friday</v>
      </c>
      <c r="G856" s="3">
        <v>45170</v>
      </c>
      <c r="H856" s="4" t="s">
        <v>882</v>
      </c>
      <c r="I856" s="4" t="s">
        <v>16</v>
      </c>
      <c r="J856" s="4">
        <v>54</v>
      </c>
      <c r="K856" s="4" t="str" cm="1">
        <f t="array" ref="K856">_xlfn.IFS(J856&lt;30, "Young Adult", J856&lt;50, "Adult", J856&gt;=50, "Senior")</f>
        <v>Senior</v>
      </c>
      <c r="L856" s="4" t="s">
        <v>17</v>
      </c>
      <c r="M856" s="4">
        <v>1</v>
      </c>
      <c r="N856" s="5">
        <v>25</v>
      </c>
      <c r="O856">
        <f>M856*N856</f>
        <v>25</v>
      </c>
      <c r="P856" s="14">
        <f>O856*$S$3</f>
        <v>0.375</v>
      </c>
    </row>
    <row r="857" spans="1:16">
      <c r="A857" s="2">
        <v>856</v>
      </c>
      <c r="B857" s="4">
        <f>YEAR(G857)</f>
        <v>2023</v>
      </c>
      <c r="C857" s="4">
        <f>MONTH(G857)</f>
        <v>11</v>
      </c>
      <c r="D857" s="4">
        <f>DAY(G857)</f>
        <v>27</v>
      </c>
      <c r="E857" s="4" t="str">
        <f>TEXT(G857, "mmmm")</f>
        <v>November</v>
      </c>
      <c r="F857" s="4" t="str">
        <f>TEXT(G857, "dddd")</f>
        <v>Monday</v>
      </c>
      <c r="G857" s="3">
        <v>45257</v>
      </c>
      <c r="H857" s="4" t="s">
        <v>883</v>
      </c>
      <c r="I857" s="4" t="s">
        <v>16</v>
      </c>
      <c r="J857" s="4">
        <v>54</v>
      </c>
      <c r="K857" s="4" t="str" cm="1">
        <f t="array" ref="K857">_xlfn.IFS(J857&lt;30, "Young Adult", J857&lt;50, "Adult", J857&gt;=50, "Senior")</f>
        <v>Senior</v>
      </c>
      <c r="L857" s="4" t="s">
        <v>24</v>
      </c>
      <c r="M857" s="4">
        <v>4</v>
      </c>
      <c r="N857" s="5">
        <v>30</v>
      </c>
      <c r="O857">
        <f>M857*N857</f>
        <v>120</v>
      </c>
      <c r="P857" s="14">
        <f>O857*$S$3</f>
        <v>1.7999999999999998</v>
      </c>
    </row>
    <row r="858" spans="1:16">
      <c r="A858" s="2">
        <v>857</v>
      </c>
      <c r="B858" s="4">
        <f>YEAR(G858)</f>
        <v>2023</v>
      </c>
      <c r="C858" s="4">
        <f>MONTH(G858)</f>
        <v>12</v>
      </c>
      <c r="D858" s="4">
        <f>DAY(G858)</f>
        <v>31</v>
      </c>
      <c r="E858" s="4" t="str">
        <f>TEXT(G858, "mmmm")</f>
        <v>December</v>
      </c>
      <c r="F858" s="4" t="str">
        <f>TEXT(G858, "dddd")</f>
        <v>Sunday</v>
      </c>
      <c r="G858" s="3">
        <v>45291</v>
      </c>
      <c r="H858" s="4" t="s">
        <v>884</v>
      </c>
      <c r="I858" s="4" t="s">
        <v>16</v>
      </c>
      <c r="J858" s="4">
        <v>60</v>
      </c>
      <c r="K858" s="4" t="str" cm="1">
        <f t="array" ref="K858">_xlfn.IFS(J858&lt;30, "Young Adult", J858&lt;50, "Adult", J858&gt;=50, "Senior")</f>
        <v>Senior</v>
      </c>
      <c r="L858" s="4" t="s">
        <v>24</v>
      </c>
      <c r="M858" s="4">
        <v>2</v>
      </c>
      <c r="N858" s="5">
        <v>25</v>
      </c>
      <c r="O858">
        <f>M858*N858</f>
        <v>50</v>
      </c>
      <c r="P858" s="14">
        <f>O858*$S$3</f>
        <v>0.75</v>
      </c>
    </row>
    <row r="859" spans="1:16">
      <c r="A859" s="2">
        <v>858</v>
      </c>
      <c r="B859" s="4">
        <f>YEAR(G859)</f>
        <v>2023</v>
      </c>
      <c r="C859" s="4">
        <f>MONTH(G859)</f>
        <v>9</v>
      </c>
      <c r="D859" s="4">
        <f>DAY(G859)</f>
        <v>9</v>
      </c>
      <c r="E859" s="4" t="str">
        <f>TEXT(G859, "mmmm")</f>
        <v>September</v>
      </c>
      <c r="F859" s="4" t="str">
        <f>TEXT(G859, "dddd")</f>
        <v>Saturday</v>
      </c>
      <c r="G859" s="3">
        <v>45178</v>
      </c>
      <c r="H859" s="4" t="s">
        <v>885</v>
      </c>
      <c r="I859" s="4" t="s">
        <v>16</v>
      </c>
      <c r="J859" s="4">
        <v>23</v>
      </c>
      <c r="K859" s="4" t="str" cm="1">
        <f t="array" ref="K859">_xlfn.IFS(J859&lt;30, "Young Adult", J859&lt;50, "Adult", J859&gt;=50, "Senior")</f>
        <v>Young Adult</v>
      </c>
      <c r="L859" s="4" t="s">
        <v>24</v>
      </c>
      <c r="M859" s="4">
        <v>2</v>
      </c>
      <c r="N859" s="5">
        <v>50</v>
      </c>
      <c r="O859">
        <f>M859*N859</f>
        <v>100</v>
      </c>
      <c r="P859" s="14">
        <f>O859*$S$3</f>
        <v>1.5</v>
      </c>
    </row>
    <row r="860" spans="1:16">
      <c r="A860" s="2">
        <v>859</v>
      </c>
      <c r="B860" s="4">
        <f>YEAR(G860)</f>
        <v>2023</v>
      </c>
      <c r="C860" s="4">
        <f>MONTH(G860)</f>
        <v>8</v>
      </c>
      <c r="D860" s="4">
        <f>DAY(G860)</f>
        <v>18</v>
      </c>
      <c r="E860" s="4" t="str">
        <f>TEXT(G860, "mmmm")</f>
        <v>August</v>
      </c>
      <c r="F860" s="4" t="str">
        <f>TEXT(G860, "dddd")</f>
        <v>Friday</v>
      </c>
      <c r="G860" s="3">
        <v>45156</v>
      </c>
      <c r="H860" s="4" t="s">
        <v>886</v>
      </c>
      <c r="I860" s="4" t="s">
        <v>20</v>
      </c>
      <c r="J860" s="4">
        <v>56</v>
      </c>
      <c r="K860" s="4" t="str" cm="1">
        <f t="array" ref="K860">_xlfn.IFS(J860&lt;30, "Young Adult", J860&lt;50, "Adult", J860&gt;=50, "Senior")</f>
        <v>Senior</v>
      </c>
      <c r="L860" s="4" t="s">
        <v>24</v>
      </c>
      <c r="M860" s="4">
        <v>3</v>
      </c>
      <c r="N860" s="5">
        <v>500</v>
      </c>
      <c r="O860">
        <f>M860*N860</f>
        <v>1500</v>
      </c>
      <c r="P860" s="14">
        <f>O860*$S$3</f>
        <v>22.5</v>
      </c>
    </row>
    <row r="861" spans="1:16">
      <c r="A861" s="2">
        <v>860</v>
      </c>
      <c r="B861" s="4">
        <f>YEAR(G861)</f>
        <v>2023</v>
      </c>
      <c r="C861" s="4">
        <f>MONTH(G861)</f>
        <v>1</v>
      </c>
      <c r="D861" s="4">
        <f>DAY(G861)</f>
        <v>9</v>
      </c>
      <c r="E861" s="4" t="str">
        <f>TEXT(G861, "mmmm")</f>
        <v>January</v>
      </c>
      <c r="F861" s="4" t="str">
        <f>TEXT(G861, "dddd")</f>
        <v>Monday</v>
      </c>
      <c r="G861" s="3">
        <v>44935</v>
      </c>
      <c r="H861" s="4" t="s">
        <v>887</v>
      </c>
      <c r="I861" s="4" t="s">
        <v>16</v>
      </c>
      <c r="J861" s="4">
        <v>63</v>
      </c>
      <c r="K861" s="4" t="str" cm="1">
        <f t="array" ref="K861">_xlfn.IFS(J861&lt;30, "Young Adult", J861&lt;50, "Adult", J861&gt;=50, "Senior")</f>
        <v>Senior</v>
      </c>
      <c r="L861" s="4" t="s">
        <v>21</v>
      </c>
      <c r="M861" s="4">
        <v>4</v>
      </c>
      <c r="N861" s="5">
        <v>50</v>
      </c>
      <c r="O861">
        <f>M861*N861</f>
        <v>200</v>
      </c>
      <c r="P861" s="14">
        <f>O861*$S$3</f>
        <v>3</v>
      </c>
    </row>
    <row r="862" spans="1:16">
      <c r="A862" s="2">
        <v>861</v>
      </c>
      <c r="B862" s="4">
        <f>YEAR(G862)</f>
        <v>2023</v>
      </c>
      <c r="C862" s="4">
        <f>MONTH(G862)</f>
        <v>2</v>
      </c>
      <c r="D862" s="4">
        <f>DAY(G862)</f>
        <v>17</v>
      </c>
      <c r="E862" s="4" t="str">
        <f>TEXT(G862, "mmmm")</f>
        <v>February</v>
      </c>
      <c r="F862" s="4" t="str">
        <f>TEXT(G862, "dddd")</f>
        <v>Friday</v>
      </c>
      <c r="G862" s="3">
        <v>44974</v>
      </c>
      <c r="H862" s="4" t="s">
        <v>888</v>
      </c>
      <c r="I862" s="4" t="s">
        <v>20</v>
      </c>
      <c r="J862" s="4">
        <v>41</v>
      </c>
      <c r="K862" s="4" t="str" cm="1">
        <f t="array" ref="K862">_xlfn.IFS(J862&lt;30, "Young Adult", J862&lt;50, "Adult", J862&gt;=50, "Senior")</f>
        <v>Adult</v>
      </c>
      <c r="L862" s="4" t="s">
        <v>21</v>
      </c>
      <c r="M862" s="4">
        <v>3</v>
      </c>
      <c r="N862" s="5">
        <v>30</v>
      </c>
      <c r="O862">
        <f>M862*N862</f>
        <v>90</v>
      </c>
      <c r="P862" s="14">
        <f>O862*$S$3</f>
        <v>1.3499999999999999</v>
      </c>
    </row>
    <row r="863" spans="1:16">
      <c r="A863" s="2">
        <v>862</v>
      </c>
      <c r="B863" s="4">
        <f>YEAR(G863)</f>
        <v>2023</v>
      </c>
      <c r="C863" s="4">
        <f>MONTH(G863)</f>
        <v>5</v>
      </c>
      <c r="D863" s="4">
        <f>DAY(G863)</f>
        <v>31</v>
      </c>
      <c r="E863" s="4" t="str">
        <f>TEXT(G863, "mmmm")</f>
        <v>May</v>
      </c>
      <c r="F863" s="4" t="str">
        <f>TEXT(G863, "dddd")</f>
        <v>Wednesday</v>
      </c>
      <c r="G863" s="3">
        <v>45077</v>
      </c>
      <c r="H863" s="4" t="s">
        <v>889</v>
      </c>
      <c r="I863" s="4" t="s">
        <v>16</v>
      </c>
      <c r="J863" s="4">
        <v>28</v>
      </c>
      <c r="K863" s="4" t="str" cm="1">
        <f t="array" ref="K863">_xlfn.IFS(J863&lt;30, "Young Adult", J863&lt;50, "Adult", J863&gt;=50, "Senior")</f>
        <v>Young Adult</v>
      </c>
      <c r="L863" s="4" t="s">
        <v>24</v>
      </c>
      <c r="M863" s="4">
        <v>4</v>
      </c>
      <c r="N863" s="5">
        <v>300</v>
      </c>
      <c r="O863">
        <f>M863*N863</f>
        <v>1200</v>
      </c>
      <c r="P863" s="14">
        <f>O863*$S$3</f>
        <v>18</v>
      </c>
    </row>
    <row r="864" spans="1:16">
      <c r="A864" s="2">
        <v>863</v>
      </c>
      <c r="B864" s="4">
        <f>YEAR(G864)</f>
        <v>2023</v>
      </c>
      <c r="C864" s="4">
        <f>MONTH(G864)</f>
        <v>4</v>
      </c>
      <c r="D864" s="4">
        <f>DAY(G864)</f>
        <v>24</v>
      </c>
      <c r="E864" s="4" t="str">
        <f>TEXT(G864, "mmmm")</f>
        <v>April</v>
      </c>
      <c r="F864" s="4" t="str">
        <f>TEXT(G864, "dddd")</f>
        <v>Monday</v>
      </c>
      <c r="G864" s="3">
        <v>45040</v>
      </c>
      <c r="H864" s="4" t="s">
        <v>890</v>
      </c>
      <c r="I864" s="4" t="s">
        <v>20</v>
      </c>
      <c r="J864" s="4">
        <v>30</v>
      </c>
      <c r="K864" s="4" t="str" cm="1">
        <f t="array" ref="K864">_xlfn.IFS(J864&lt;30, "Young Adult", J864&lt;50, "Adult", J864&gt;=50, "Senior")</f>
        <v>Adult</v>
      </c>
      <c r="L864" s="4" t="s">
        <v>24</v>
      </c>
      <c r="M864" s="4">
        <v>2</v>
      </c>
      <c r="N864" s="5">
        <v>25</v>
      </c>
      <c r="O864">
        <f>M864*N864</f>
        <v>50</v>
      </c>
      <c r="P864" s="14">
        <f>O864*$S$3</f>
        <v>0.75</v>
      </c>
    </row>
    <row r="865" spans="1:16">
      <c r="A865" s="2">
        <v>864</v>
      </c>
      <c r="B865" s="4">
        <f>YEAR(G865)</f>
        <v>2023</v>
      </c>
      <c r="C865" s="4">
        <f>MONTH(G865)</f>
        <v>7</v>
      </c>
      <c r="D865" s="4">
        <f>DAY(G865)</f>
        <v>27</v>
      </c>
      <c r="E865" s="4" t="str">
        <f>TEXT(G865, "mmmm")</f>
        <v>July</v>
      </c>
      <c r="F865" s="4" t="str">
        <f>TEXT(G865, "dddd")</f>
        <v>Thursday</v>
      </c>
      <c r="G865" s="3">
        <v>45134</v>
      </c>
      <c r="H865" s="4" t="s">
        <v>891</v>
      </c>
      <c r="I865" s="4" t="s">
        <v>20</v>
      </c>
      <c r="J865" s="4">
        <v>51</v>
      </c>
      <c r="K865" s="4" t="str" cm="1">
        <f t="array" ref="K865">_xlfn.IFS(J865&lt;30, "Young Adult", J865&lt;50, "Adult", J865&gt;=50, "Senior")</f>
        <v>Senior</v>
      </c>
      <c r="L865" s="4" t="s">
        <v>24</v>
      </c>
      <c r="M865" s="4">
        <v>1</v>
      </c>
      <c r="N865" s="5">
        <v>500</v>
      </c>
      <c r="O865">
        <f>M865*N865</f>
        <v>500</v>
      </c>
      <c r="P865" s="14">
        <f>O865*$S$3</f>
        <v>7.5</v>
      </c>
    </row>
    <row r="866" spans="1:16">
      <c r="A866" s="2">
        <v>865</v>
      </c>
      <c r="B866" s="4">
        <f>YEAR(G866)</f>
        <v>2023</v>
      </c>
      <c r="C866" s="4">
        <f>MONTH(G866)</f>
        <v>12</v>
      </c>
      <c r="D866" s="4">
        <f>DAY(G866)</f>
        <v>21</v>
      </c>
      <c r="E866" s="4" t="str">
        <f>TEXT(G866, "mmmm")</f>
        <v>December</v>
      </c>
      <c r="F866" s="4" t="str">
        <f>TEXT(G866, "dddd")</f>
        <v>Thursday</v>
      </c>
      <c r="G866" s="3">
        <v>45281</v>
      </c>
      <c r="H866" s="4" t="s">
        <v>892</v>
      </c>
      <c r="I866" s="4" t="s">
        <v>20</v>
      </c>
      <c r="J866" s="4">
        <v>42</v>
      </c>
      <c r="K866" s="4" t="str" cm="1">
        <f t="array" ref="K866">_xlfn.IFS(J866&lt;30, "Young Adult", J866&lt;50, "Adult", J866&gt;=50, "Senior")</f>
        <v>Adult</v>
      </c>
      <c r="L866" s="4" t="s">
        <v>21</v>
      </c>
      <c r="M866" s="4">
        <v>1</v>
      </c>
      <c r="N866" s="5">
        <v>300</v>
      </c>
      <c r="O866">
        <f>M866*N866</f>
        <v>300</v>
      </c>
      <c r="P866" s="14">
        <f>O866*$S$3</f>
        <v>4.5</v>
      </c>
    </row>
    <row r="867" spans="1:16">
      <c r="A867" s="2">
        <v>866</v>
      </c>
      <c r="B867" s="4">
        <f>YEAR(G867)</f>
        <v>2023</v>
      </c>
      <c r="C867" s="4">
        <f>MONTH(G867)</f>
        <v>5</v>
      </c>
      <c r="D867" s="4">
        <f>DAY(G867)</f>
        <v>5</v>
      </c>
      <c r="E867" s="4" t="str">
        <f>TEXT(G867, "mmmm")</f>
        <v>May</v>
      </c>
      <c r="F867" s="4" t="str">
        <f>TEXT(G867, "dddd")</f>
        <v>Friday</v>
      </c>
      <c r="G867" s="3">
        <v>45051</v>
      </c>
      <c r="H867" s="4" t="s">
        <v>893</v>
      </c>
      <c r="I867" s="4" t="s">
        <v>16</v>
      </c>
      <c r="J867" s="4">
        <v>24</v>
      </c>
      <c r="K867" s="4" t="str" cm="1">
        <f t="array" ref="K867">_xlfn.IFS(J867&lt;30, "Young Adult", J867&lt;50, "Adult", J867&gt;=50, "Senior")</f>
        <v>Young Adult</v>
      </c>
      <c r="L867" s="4" t="s">
        <v>24</v>
      </c>
      <c r="M867" s="4">
        <v>1</v>
      </c>
      <c r="N867" s="5">
        <v>50</v>
      </c>
      <c r="O867">
        <f>M867*N867</f>
        <v>50</v>
      </c>
      <c r="P867" s="14">
        <f>O867*$S$3</f>
        <v>0.75</v>
      </c>
    </row>
    <row r="868" spans="1:16">
      <c r="A868" s="2">
        <v>867</v>
      </c>
      <c r="B868" s="4">
        <f>YEAR(G868)</f>
        <v>2023</v>
      </c>
      <c r="C868" s="4">
        <f>MONTH(G868)</f>
        <v>6</v>
      </c>
      <c r="D868" s="4">
        <f>DAY(G868)</f>
        <v>6</v>
      </c>
      <c r="E868" s="4" t="str">
        <f>TEXT(G868, "mmmm")</f>
        <v>June</v>
      </c>
      <c r="F868" s="4" t="str">
        <f>TEXT(G868, "dddd")</f>
        <v>Tuesday</v>
      </c>
      <c r="G868" s="3">
        <v>45083</v>
      </c>
      <c r="H868" s="4" t="s">
        <v>894</v>
      </c>
      <c r="I868" s="4" t="s">
        <v>16</v>
      </c>
      <c r="J868" s="4">
        <v>21</v>
      </c>
      <c r="K868" s="4" t="str" cm="1">
        <f t="array" ref="K868">_xlfn.IFS(J868&lt;30, "Young Adult", J868&lt;50, "Adult", J868&gt;=50, "Senior")</f>
        <v>Young Adult</v>
      </c>
      <c r="L868" s="4" t="s">
        <v>24</v>
      </c>
      <c r="M868" s="4">
        <v>1</v>
      </c>
      <c r="N868" s="5">
        <v>500</v>
      </c>
      <c r="O868">
        <f>M868*N868</f>
        <v>500</v>
      </c>
      <c r="P868" s="14">
        <f>O868*$S$3</f>
        <v>7.5</v>
      </c>
    </row>
    <row r="869" spans="1:16">
      <c r="A869" s="2">
        <v>868</v>
      </c>
      <c r="B869" s="4">
        <f>YEAR(G869)</f>
        <v>2023</v>
      </c>
      <c r="C869" s="4">
        <f>MONTH(G869)</f>
        <v>12</v>
      </c>
      <c r="D869" s="4">
        <f>DAY(G869)</f>
        <v>6</v>
      </c>
      <c r="E869" s="4" t="str">
        <f>TEXT(G869, "mmmm")</f>
        <v>December</v>
      </c>
      <c r="F869" s="4" t="str">
        <f>TEXT(G869, "dddd")</f>
        <v>Wednesday</v>
      </c>
      <c r="G869" s="3">
        <v>45266</v>
      </c>
      <c r="H869" s="4" t="s">
        <v>895</v>
      </c>
      <c r="I869" s="4" t="s">
        <v>20</v>
      </c>
      <c r="J869" s="4">
        <v>25</v>
      </c>
      <c r="K869" s="4" t="str" cm="1">
        <f t="array" ref="K869">_xlfn.IFS(J869&lt;30, "Young Adult", J869&lt;50, "Adult", J869&gt;=50, "Senior")</f>
        <v>Young Adult</v>
      </c>
      <c r="L869" s="4" t="s">
        <v>24</v>
      </c>
      <c r="M869" s="4">
        <v>1</v>
      </c>
      <c r="N869" s="5">
        <v>300</v>
      </c>
      <c r="O869">
        <f>M869*N869</f>
        <v>300</v>
      </c>
      <c r="P869" s="14">
        <f>O869*$S$3</f>
        <v>4.5</v>
      </c>
    </row>
    <row r="870" spans="1:16">
      <c r="A870" s="2">
        <v>869</v>
      </c>
      <c r="B870" s="4">
        <f>YEAR(G870)</f>
        <v>2023</v>
      </c>
      <c r="C870" s="4">
        <f>MONTH(G870)</f>
        <v>10</v>
      </c>
      <c r="D870" s="4">
        <f>DAY(G870)</f>
        <v>25</v>
      </c>
      <c r="E870" s="4" t="str">
        <f>TEXT(G870, "mmmm")</f>
        <v>October</v>
      </c>
      <c r="F870" s="4" t="str">
        <f>TEXT(G870, "dddd")</f>
        <v>Wednesday</v>
      </c>
      <c r="G870" s="3">
        <v>45224</v>
      </c>
      <c r="H870" s="4" t="s">
        <v>896</v>
      </c>
      <c r="I870" s="4" t="s">
        <v>16</v>
      </c>
      <c r="J870" s="4">
        <v>37</v>
      </c>
      <c r="K870" s="4" t="str" cm="1">
        <f t="array" ref="K870">_xlfn.IFS(J870&lt;30, "Young Adult", J870&lt;50, "Adult", J870&gt;=50, "Senior")</f>
        <v>Adult</v>
      </c>
      <c r="L870" s="4" t="s">
        <v>17</v>
      </c>
      <c r="M870" s="4">
        <v>3</v>
      </c>
      <c r="N870" s="5">
        <v>500</v>
      </c>
      <c r="O870">
        <f>M870*N870</f>
        <v>1500</v>
      </c>
      <c r="P870" s="14">
        <f>O870*$S$3</f>
        <v>22.5</v>
      </c>
    </row>
    <row r="871" spans="1:16">
      <c r="A871" s="2">
        <v>870</v>
      </c>
      <c r="B871" s="4">
        <f>YEAR(G871)</f>
        <v>2023</v>
      </c>
      <c r="C871" s="4">
        <f>MONTH(G871)</f>
        <v>7</v>
      </c>
      <c r="D871" s="4">
        <f>DAY(G871)</f>
        <v>8</v>
      </c>
      <c r="E871" s="4" t="str">
        <f>TEXT(G871, "mmmm")</f>
        <v>July</v>
      </c>
      <c r="F871" s="4" t="str">
        <f>TEXT(G871, "dddd")</f>
        <v>Saturday</v>
      </c>
      <c r="G871" s="3">
        <v>45115</v>
      </c>
      <c r="H871" s="4" t="s">
        <v>897</v>
      </c>
      <c r="I871" s="4" t="s">
        <v>20</v>
      </c>
      <c r="J871" s="4">
        <v>46</v>
      </c>
      <c r="K871" s="4" t="str" cm="1">
        <f t="array" ref="K871">_xlfn.IFS(J871&lt;30, "Young Adult", J871&lt;50, "Adult", J871&gt;=50, "Senior")</f>
        <v>Adult</v>
      </c>
      <c r="L871" s="4" t="s">
        <v>24</v>
      </c>
      <c r="M871" s="4">
        <v>4</v>
      </c>
      <c r="N871" s="5">
        <v>30</v>
      </c>
      <c r="O871">
        <f>M871*N871</f>
        <v>120</v>
      </c>
      <c r="P871" s="14">
        <f>O871*$S$3</f>
        <v>1.7999999999999998</v>
      </c>
    </row>
    <row r="872" spans="1:16">
      <c r="A872" s="2">
        <v>871</v>
      </c>
      <c r="B872" s="4">
        <f>YEAR(G872)</f>
        <v>2023</v>
      </c>
      <c r="C872" s="4">
        <f>MONTH(G872)</f>
        <v>8</v>
      </c>
      <c r="D872" s="4">
        <f>DAY(G872)</f>
        <v>31</v>
      </c>
      <c r="E872" s="4" t="str">
        <f>TEXT(G872, "mmmm")</f>
        <v>August</v>
      </c>
      <c r="F872" s="4" t="str">
        <f>TEXT(G872, "dddd")</f>
        <v>Thursday</v>
      </c>
      <c r="G872" s="3">
        <v>45169</v>
      </c>
      <c r="H872" s="4" t="s">
        <v>898</v>
      </c>
      <c r="I872" s="4" t="s">
        <v>16</v>
      </c>
      <c r="J872" s="4">
        <v>62</v>
      </c>
      <c r="K872" s="4" t="str" cm="1">
        <f t="array" ref="K872">_xlfn.IFS(J872&lt;30, "Young Adult", J872&lt;50, "Adult", J872&gt;=50, "Senior")</f>
        <v>Senior</v>
      </c>
      <c r="L872" s="4" t="s">
        <v>17</v>
      </c>
      <c r="M872" s="4">
        <v>2</v>
      </c>
      <c r="N872" s="5">
        <v>30</v>
      </c>
      <c r="O872">
        <f>M872*N872</f>
        <v>60</v>
      </c>
      <c r="P872" s="14">
        <f>O872*$S$3</f>
        <v>0.89999999999999991</v>
      </c>
    </row>
    <row r="873" spans="1:16">
      <c r="A873" s="2">
        <v>872</v>
      </c>
      <c r="B873" s="4">
        <f>YEAR(G873)</f>
        <v>2023</v>
      </c>
      <c r="C873" s="4">
        <f>MONTH(G873)</f>
        <v>10</v>
      </c>
      <c r="D873" s="4">
        <f>DAY(G873)</f>
        <v>11</v>
      </c>
      <c r="E873" s="4" t="str">
        <f>TEXT(G873, "mmmm")</f>
        <v>October</v>
      </c>
      <c r="F873" s="4" t="str">
        <f>TEXT(G873, "dddd")</f>
        <v>Wednesday</v>
      </c>
      <c r="G873" s="3">
        <v>45210</v>
      </c>
      <c r="H873" s="4" t="s">
        <v>899</v>
      </c>
      <c r="I873" s="4" t="s">
        <v>20</v>
      </c>
      <c r="J873" s="4">
        <v>63</v>
      </c>
      <c r="K873" s="4" t="str" cm="1">
        <f t="array" ref="K873">_xlfn.IFS(J873&lt;30, "Young Adult", J873&lt;50, "Adult", J873&gt;=50, "Senior")</f>
        <v>Senior</v>
      </c>
      <c r="L873" s="4" t="s">
        <v>17</v>
      </c>
      <c r="M873" s="4">
        <v>3</v>
      </c>
      <c r="N873" s="5">
        <v>25</v>
      </c>
      <c r="O873">
        <f>M873*N873</f>
        <v>75</v>
      </c>
      <c r="P873" s="14">
        <f>O873*$S$3</f>
        <v>1.125</v>
      </c>
    </row>
    <row r="874" spans="1:16">
      <c r="A874" s="2">
        <v>873</v>
      </c>
      <c r="B874" s="4">
        <f>YEAR(G874)</f>
        <v>2023</v>
      </c>
      <c r="C874" s="4">
        <f>MONTH(G874)</f>
        <v>9</v>
      </c>
      <c r="D874" s="4">
        <f>DAY(G874)</f>
        <v>29</v>
      </c>
      <c r="E874" s="4" t="str">
        <f>TEXT(G874, "mmmm")</f>
        <v>September</v>
      </c>
      <c r="F874" s="4" t="str">
        <f>TEXT(G874, "dddd")</f>
        <v>Friday</v>
      </c>
      <c r="G874" s="3">
        <v>45198</v>
      </c>
      <c r="H874" s="4" t="s">
        <v>900</v>
      </c>
      <c r="I874" s="4" t="s">
        <v>20</v>
      </c>
      <c r="J874" s="4">
        <v>27</v>
      </c>
      <c r="K874" s="4" t="str" cm="1">
        <f t="array" ref="K874">_xlfn.IFS(J874&lt;30, "Young Adult", J874&lt;50, "Adult", J874&gt;=50, "Senior")</f>
        <v>Young Adult</v>
      </c>
      <c r="L874" s="4" t="s">
        <v>24</v>
      </c>
      <c r="M874" s="4">
        <v>4</v>
      </c>
      <c r="N874" s="5">
        <v>25</v>
      </c>
      <c r="O874">
        <f>M874*N874</f>
        <v>100</v>
      </c>
      <c r="P874" s="14">
        <f>O874*$S$3</f>
        <v>1.5</v>
      </c>
    </row>
    <row r="875" spans="1:16">
      <c r="A875" s="2">
        <v>874</v>
      </c>
      <c r="B875" s="4">
        <f>YEAR(G875)</f>
        <v>2023</v>
      </c>
      <c r="C875" s="4">
        <f>MONTH(G875)</f>
        <v>6</v>
      </c>
      <c r="D875" s="4">
        <f>DAY(G875)</f>
        <v>26</v>
      </c>
      <c r="E875" s="4" t="str">
        <f>TEXT(G875, "mmmm")</f>
        <v>June</v>
      </c>
      <c r="F875" s="4" t="str">
        <f>TEXT(G875, "dddd")</f>
        <v>Monday</v>
      </c>
      <c r="G875" s="3">
        <v>45103</v>
      </c>
      <c r="H875" s="4" t="s">
        <v>901</v>
      </c>
      <c r="I875" s="4" t="s">
        <v>16</v>
      </c>
      <c r="J875" s="4">
        <v>60</v>
      </c>
      <c r="K875" s="4" t="str" cm="1">
        <f t="array" ref="K875">_xlfn.IFS(J875&lt;30, "Young Adult", J875&lt;50, "Adult", J875&gt;=50, "Senior")</f>
        <v>Senior</v>
      </c>
      <c r="L875" s="4" t="s">
        <v>17</v>
      </c>
      <c r="M875" s="4">
        <v>1</v>
      </c>
      <c r="N875" s="5">
        <v>30</v>
      </c>
      <c r="O875">
        <f>M875*N875</f>
        <v>30</v>
      </c>
      <c r="P875" s="14">
        <f>O875*$S$3</f>
        <v>0.44999999999999996</v>
      </c>
    </row>
    <row r="876" spans="1:16">
      <c r="A876" s="2">
        <v>875</v>
      </c>
      <c r="B876" s="4">
        <f>YEAR(G876)</f>
        <v>2023</v>
      </c>
      <c r="C876" s="4">
        <f>MONTH(G876)</f>
        <v>8</v>
      </c>
      <c r="D876" s="4">
        <f>DAY(G876)</f>
        <v>6</v>
      </c>
      <c r="E876" s="4" t="str">
        <f>TEXT(G876, "mmmm")</f>
        <v>August</v>
      </c>
      <c r="F876" s="4" t="str">
        <f>TEXT(G876, "dddd")</f>
        <v>Sunday</v>
      </c>
      <c r="G876" s="3">
        <v>45144</v>
      </c>
      <c r="H876" s="4" t="s">
        <v>902</v>
      </c>
      <c r="I876" s="4" t="s">
        <v>20</v>
      </c>
      <c r="J876" s="4">
        <v>51</v>
      </c>
      <c r="K876" s="4" t="str" cm="1">
        <f t="array" ref="K876">_xlfn.IFS(J876&lt;30, "Young Adult", J876&lt;50, "Adult", J876&gt;=50, "Senior")</f>
        <v>Senior</v>
      </c>
      <c r="L876" s="4" t="s">
        <v>24</v>
      </c>
      <c r="M876" s="4">
        <v>4</v>
      </c>
      <c r="N876" s="5">
        <v>500</v>
      </c>
      <c r="O876">
        <f>M876*N876</f>
        <v>2000</v>
      </c>
      <c r="P876" s="14">
        <f>O876*$S$3</f>
        <v>30</v>
      </c>
    </row>
    <row r="877" spans="1:16">
      <c r="A877" s="2">
        <v>876</v>
      </c>
      <c r="B877" s="4">
        <f>YEAR(G877)</f>
        <v>2023</v>
      </c>
      <c r="C877" s="4">
        <f>MONTH(G877)</f>
        <v>10</v>
      </c>
      <c r="D877" s="4">
        <f>DAY(G877)</f>
        <v>9</v>
      </c>
      <c r="E877" s="4" t="str">
        <f>TEXT(G877, "mmmm")</f>
        <v>October</v>
      </c>
      <c r="F877" s="4" t="str">
        <f>TEXT(G877, "dddd")</f>
        <v>Monday</v>
      </c>
      <c r="G877" s="3">
        <v>45208</v>
      </c>
      <c r="H877" s="4" t="s">
        <v>903</v>
      </c>
      <c r="I877" s="4" t="s">
        <v>16</v>
      </c>
      <c r="J877" s="4">
        <v>43</v>
      </c>
      <c r="K877" s="4" t="str" cm="1">
        <f t="array" ref="K877">_xlfn.IFS(J877&lt;30, "Young Adult", J877&lt;50, "Adult", J877&gt;=50, "Senior")</f>
        <v>Adult</v>
      </c>
      <c r="L877" s="4" t="s">
        <v>21</v>
      </c>
      <c r="M877" s="4">
        <v>4</v>
      </c>
      <c r="N877" s="5">
        <v>30</v>
      </c>
      <c r="O877">
        <f>M877*N877</f>
        <v>120</v>
      </c>
      <c r="P877" s="14">
        <f>O877*$S$3</f>
        <v>1.7999999999999998</v>
      </c>
    </row>
    <row r="878" spans="1:16">
      <c r="A878" s="2">
        <v>877</v>
      </c>
      <c r="B878" s="4">
        <f>YEAR(G878)</f>
        <v>2023</v>
      </c>
      <c r="C878" s="4">
        <f>MONTH(G878)</f>
        <v>6</v>
      </c>
      <c r="D878" s="4">
        <f>DAY(G878)</f>
        <v>19</v>
      </c>
      <c r="E878" s="4" t="str">
        <f>TEXT(G878, "mmmm")</f>
        <v>June</v>
      </c>
      <c r="F878" s="4" t="str">
        <f>TEXT(G878, "dddd")</f>
        <v>Monday</v>
      </c>
      <c r="G878" s="3">
        <v>45096</v>
      </c>
      <c r="H878" s="4" t="s">
        <v>904</v>
      </c>
      <c r="I878" s="4" t="s">
        <v>20</v>
      </c>
      <c r="J878" s="4">
        <v>58</v>
      </c>
      <c r="K878" s="4" t="str" cm="1">
        <f t="array" ref="K878">_xlfn.IFS(J878&lt;30, "Young Adult", J878&lt;50, "Adult", J878&gt;=50, "Senior")</f>
        <v>Senior</v>
      </c>
      <c r="L878" s="4" t="s">
        <v>21</v>
      </c>
      <c r="M878" s="4">
        <v>1</v>
      </c>
      <c r="N878" s="5">
        <v>25</v>
      </c>
      <c r="O878">
        <f>M878*N878</f>
        <v>25</v>
      </c>
      <c r="P878" s="14">
        <f>O878*$S$3</f>
        <v>0.375</v>
      </c>
    </row>
    <row r="879" spans="1:16">
      <c r="A879" s="2">
        <v>878</v>
      </c>
      <c r="B879" s="4">
        <f>YEAR(G879)</f>
        <v>2023</v>
      </c>
      <c r="C879" s="4">
        <f>MONTH(G879)</f>
        <v>6</v>
      </c>
      <c r="D879" s="4">
        <f>DAY(G879)</f>
        <v>30</v>
      </c>
      <c r="E879" s="4" t="str">
        <f>TEXT(G879, "mmmm")</f>
        <v>June</v>
      </c>
      <c r="F879" s="4" t="str">
        <f>TEXT(G879, "dddd")</f>
        <v>Friday</v>
      </c>
      <c r="G879" s="3">
        <v>45107</v>
      </c>
      <c r="H879" s="4" t="s">
        <v>905</v>
      </c>
      <c r="I879" s="4" t="s">
        <v>20</v>
      </c>
      <c r="J879" s="4">
        <v>20</v>
      </c>
      <c r="K879" s="4" t="str" cm="1">
        <f t="array" ref="K879">_xlfn.IFS(J879&lt;30, "Young Adult", J879&lt;50, "Adult", J879&gt;=50, "Senior")</f>
        <v>Young Adult</v>
      </c>
      <c r="L879" s="4" t="s">
        <v>21</v>
      </c>
      <c r="M879" s="4">
        <v>1</v>
      </c>
      <c r="N879" s="5">
        <v>30</v>
      </c>
      <c r="O879">
        <f>M879*N879</f>
        <v>30</v>
      </c>
      <c r="P879" s="14">
        <f>O879*$S$3</f>
        <v>0.44999999999999996</v>
      </c>
    </row>
    <row r="880" spans="1:16">
      <c r="A880" s="2">
        <v>879</v>
      </c>
      <c r="B880" s="4">
        <f>YEAR(G880)</f>
        <v>2023</v>
      </c>
      <c r="C880" s="4">
        <f>MONTH(G880)</f>
        <v>12</v>
      </c>
      <c r="D880" s="4">
        <f>DAY(G880)</f>
        <v>26</v>
      </c>
      <c r="E880" s="4" t="str">
        <f>TEXT(G880, "mmmm")</f>
        <v>December</v>
      </c>
      <c r="F880" s="4" t="str">
        <f>TEXT(G880, "dddd")</f>
        <v>Tuesday</v>
      </c>
      <c r="G880" s="3">
        <v>45286</v>
      </c>
      <c r="H880" s="4" t="s">
        <v>906</v>
      </c>
      <c r="I880" s="4" t="s">
        <v>16</v>
      </c>
      <c r="J880" s="4">
        <v>23</v>
      </c>
      <c r="K880" s="4" t="str" cm="1">
        <f t="array" ref="K880">_xlfn.IFS(J880&lt;30, "Young Adult", J880&lt;50, "Adult", J880&gt;=50, "Senior")</f>
        <v>Young Adult</v>
      </c>
      <c r="L880" s="4" t="s">
        <v>21</v>
      </c>
      <c r="M880" s="4">
        <v>1</v>
      </c>
      <c r="N880" s="5">
        <v>30</v>
      </c>
      <c r="O880">
        <f>M880*N880</f>
        <v>30</v>
      </c>
      <c r="P880" s="14">
        <f>O880*$S$3</f>
        <v>0.44999999999999996</v>
      </c>
    </row>
    <row r="881" spans="1:16">
      <c r="A881" s="2">
        <v>880</v>
      </c>
      <c r="B881" s="4">
        <f>YEAR(G881)</f>
        <v>2023</v>
      </c>
      <c r="C881" s="4">
        <f>MONTH(G881)</f>
        <v>8</v>
      </c>
      <c r="D881" s="4">
        <f>DAY(G881)</f>
        <v>21</v>
      </c>
      <c r="E881" s="4" t="str">
        <f>TEXT(G881, "mmmm")</f>
        <v>August</v>
      </c>
      <c r="F881" s="4" t="str">
        <f>TEXT(G881, "dddd")</f>
        <v>Monday</v>
      </c>
      <c r="G881" s="3">
        <v>45159</v>
      </c>
      <c r="H881" s="4" t="s">
        <v>907</v>
      </c>
      <c r="I881" s="4" t="s">
        <v>16</v>
      </c>
      <c r="J881" s="4">
        <v>22</v>
      </c>
      <c r="K881" s="4" t="str" cm="1">
        <f t="array" ref="K881">_xlfn.IFS(J881&lt;30, "Young Adult", J881&lt;50, "Adult", J881&gt;=50, "Senior")</f>
        <v>Young Adult</v>
      </c>
      <c r="L881" s="4" t="s">
        <v>17</v>
      </c>
      <c r="M881" s="4">
        <v>2</v>
      </c>
      <c r="N881" s="5">
        <v>500</v>
      </c>
      <c r="O881">
        <f>M881*N881</f>
        <v>1000</v>
      </c>
      <c r="P881" s="14">
        <f>O881*$S$3</f>
        <v>15</v>
      </c>
    </row>
    <row r="882" spans="1:16">
      <c r="A882" s="2">
        <v>881</v>
      </c>
      <c r="B882" s="4">
        <f>YEAR(G882)</f>
        <v>2023</v>
      </c>
      <c r="C882" s="4">
        <f>MONTH(G882)</f>
        <v>5</v>
      </c>
      <c r="D882" s="4">
        <f>DAY(G882)</f>
        <v>19</v>
      </c>
      <c r="E882" s="4" t="str">
        <f>TEXT(G882, "mmmm")</f>
        <v>May</v>
      </c>
      <c r="F882" s="4" t="str">
        <f>TEXT(G882, "dddd")</f>
        <v>Friday</v>
      </c>
      <c r="G882" s="3">
        <v>45065</v>
      </c>
      <c r="H882" s="4" t="s">
        <v>908</v>
      </c>
      <c r="I882" s="4" t="s">
        <v>16</v>
      </c>
      <c r="J882" s="4">
        <v>22</v>
      </c>
      <c r="K882" s="4" t="str" cm="1">
        <f t="array" ref="K882">_xlfn.IFS(J882&lt;30, "Young Adult", J882&lt;50, "Adult", J882&gt;=50, "Senior")</f>
        <v>Young Adult</v>
      </c>
      <c r="L882" s="4" t="s">
        <v>24</v>
      </c>
      <c r="M882" s="4">
        <v>1</v>
      </c>
      <c r="N882" s="5">
        <v>300</v>
      </c>
      <c r="O882">
        <f>M882*N882</f>
        <v>300</v>
      </c>
      <c r="P882" s="14">
        <f>O882*$S$3</f>
        <v>4.5</v>
      </c>
    </row>
    <row r="883" spans="1:16">
      <c r="A883" s="2">
        <v>882</v>
      </c>
      <c r="B883" s="4">
        <f>YEAR(G883)</f>
        <v>2023</v>
      </c>
      <c r="C883" s="4">
        <f>MONTH(G883)</f>
        <v>6</v>
      </c>
      <c r="D883" s="4">
        <f>DAY(G883)</f>
        <v>6</v>
      </c>
      <c r="E883" s="4" t="str">
        <f>TEXT(G883, "mmmm")</f>
        <v>June</v>
      </c>
      <c r="F883" s="4" t="str">
        <f>TEXT(G883, "dddd")</f>
        <v>Tuesday</v>
      </c>
      <c r="G883" s="3">
        <v>45083</v>
      </c>
      <c r="H883" s="4" t="s">
        <v>909</v>
      </c>
      <c r="I883" s="4" t="s">
        <v>20</v>
      </c>
      <c r="J883" s="4">
        <v>64</v>
      </c>
      <c r="K883" s="4" t="str" cm="1">
        <f t="array" ref="K883">_xlfn.IFS(J883&lt;30, "Young Adult", J883&lt;50, "Adult", J883&gt;=50, "Senior")</f>
        <v>Senior</v>
      </c>
      <c r="L883" s="4" t="s">
        <v>24</v>
      </c>
      <c r="M883" s="4">
        <v>2</v>
      </c>
      <c r="N883" s="5">
        <v>25</v>
      </c>
      <c r="O883">
        <f>M883*N883</f>
        <v>50</v>
      </c>
      <c r="P883" s="14">
        <f>O883*$S$3</f>
        <v>0.75</v>
      </c>
    </row>
    <row r="884" spans="1:16">
      <c r="A884" s="2">
        <v>883</v>
      </c>
      <c r="B884" s="4">
        <f>YEAR(G884)</f>
        <v>2023</v>
      </c>
      <c r="C884" s="4">
        <f>MONTH(G884)</f>
        <v>5</v>
      </c>
      <c r="D884" s="4">
        <f>DAY(G884)</f>
        <v>9</v>
      </c>
      <c r="E884" s="4" t="str">
        <f>TEXT(G884, "mmmm")</f>
        <v>May</v>
      </c>
      <c r="F884" s="4" t="str">
        <f>TEXT(G884, "dddd")</f>
        <v>Tuesday</v>
      </c>
      <c r="G884" s="3">
        <v>45055</v>
      </c>
      <c r="H884" s="4" t="s">
        <v>910</v>
      </c>
      <c r="I884" s="4" t="s">
        <v>16</v>
      </c>
      <c r="J884" s="4">
        <v>40</v>
      </c>
      <c r="K884" s="4" t="str" cm="1">
        <f t="array" ref="K884">_xlfn.IFS(J884&lt;30, "Young Adult", J884&lt;50, "Adult", J884&gt;=50, "Senior")</f>
        <v>Adult</v>
      </c>
      <c r="L884" s="4" t="s">
        <v>24</v>
      </c>
      <c r="M884" s="4">
        <v>1</v>
      </c>
      <c r="N884" s="5">
        <v>500</v>
      </c>
      <c r="O884">
        <f>M884*N884</f>
        <v>500</v>
      </c>
      <c r="P884" s="14">
        <f>O884*$S$3</f>
        <v>7.5</v>
      </c>
    </row>
    <row r="885" spans="1:16">
      <c r="A885" s="2">
        <v>884</v>
      </c>
      <c r="B885" s="4">
        <f>YEAR(G885)</f>
        <v>2023</v>
      </c>
      <c r="C885" s="4">
        <f>MONTH(G885)</f>
        <v>4</v>
      </c>
      <c r="D885" s="4">
        <f>DAY(G885)</f>
        <v>29</v>
      </c>
      <c r="E885" s="4" t="str">
        <f>TEXT(G885, "mmmm")</f>
        <v>April</v>
      </c>
      <c r="F885" s="4" t="str">
        <f>TEXT(G885, "dddd")</f>
        <v>Saturday</v>
      </c>
      <c r="G885" s="3">
        <v>45045</v>
      </c>
      <c r="H885" s="4" t="s">
        <v>911</v>
      </c>
      <c r="I885" s="4" t="s">
        <v>20</v>
      </c>
      <c r="J885" s="4">
        <v>26</v>
      </c>
      <c r="K885" s="4" t="str" cm="1">
        <f t="array" ref="K885">_xlfn.IFS(J885&lt;30, "Young Adult", J885&lt;50, "Adult", J885&gt;=50, "Senior")</f>
        <v>Young Adult</v>
      </c>
      <c r="L885" s="4" t="s">
        <v>21</v>
      </c>
      <c r="M885" s="4">
        <v>2</v>
      </c>
      <c r="N885" s="5">
        <v>30</v>
      </c>
      <c r="O885">
        <f>M885*N885</f>
        <v>60</v>
      </c>
      <c r="P885" s="14">
        <f>O885*$S$3</f>
        <v>0.89999999999999991</v>
      </c>
    </row>
    <row r="886" spans="1:16">
      <c r="A886" s="2">
        <v>885</v>
      </c>
      <c r="B886" s="4">
        <f>YEAR(G886)</f>
        <v>2023</v>
      </c>
      <c r="C886" s="4">
        <f>MONTH(G886)</f>
        <v>3</v>
      </c>
      <c r="D886" s="4">
        <f>DAY(G886)</f>
        <v>3</v>
      </c>
      <c r="E886" s="4" t="str">
        <f>TEXT(G886, "mmmm")</f>
        <v>March</v>
      </c>
      <c r="F886" s="4" t="str">
        <f>TEXT(G886, "dddd")</f>
        <v>Friday</v>
      </c>
      <c r="G886" s="3">
        <v>44988</v>
      </c>
      <c r="H886" s="4" t="s">
        <v>912</v>
      </c>
      <c r="I886" s="4" t="s">
        <v>20</v>
      </c>
      <c r="J886" s="4">
        <v>52</v>
      </c>
      <c r="K886" s="4" t="str" cm="1">
        <f t="array" ref="K886">_xlfn.IFS(J886&lt;30, "Young Adult", J886&lt;50, "Adult", J886&gt;=50, "Senior")</f>
        <v>Senior</v>
      </c>
      <c r="L886" s="4" t="s">
        <v>21</v>
      </c>
      <c r="M886" s="4">
        <v>4</v>
      </c>
      <c r="N886" s="5">
        <v>30</v>
      </c>
      <c r="O886">
        <f>M886*N886</f>
        <v>120</v>
      </c>
      <c r="P886" s="14">
        <f>O886*$S$3</f>
        <v>1.7999999999999998</v>
      </c>
    </row>
    <row r="887" spans="1:16">
      <c r="A887" s="2">
        <v>886</v>
      </c>
      <c r="B887" s="4">
        <f>YEAR(G887)</f>
        <v>2023</v>
      </c>
      <c r="C887" s="4">
        <f>MONTH(G887)</f>
        <v>4</v>
      </c>
      <c r="D887" s="4">
        <f>DAY(G887)</f>
        <v>9</v>
      </c>
      <c r="E887" s="4" t="str">
        <f>TEXT(G887, "mmmm")</f>
        <v>April</v>
      </c>
      <c r="F887" s="4" t="str">
        <f>TEXT(G887, "dddd")</f>
        <v>Sunday</v>
      </c>
      <c r="G887" s="3">
        <v>45025</v>
      </c>
      <c r="H887" s="4" t="s">
        <v>913</v>
      </c>
      <c r="I887" s="4" t="s">
        <v>16</v>
      </c>
      <c r="J887" s="4">
        <v>37</v>
      </c>
      <c r="K887" s="4" t="str" cm="1">
        <f t="array" ref="K887">_xlfn.IFS(J887&lt;30, "Young Adult", J887&lt;50, "Adult", J887&gt;=50, "Senior")</f>
        <v>Adult</v>
      </c>
      <c r="L887" s="4" t="s">
        <v>24</v>
      </c>
      <c r="M887" s="4">
        <v>3</v>
      </c>
      <c r="N887" s="5">
        <v>300</v>
      </c>
      <c r="O887">
        <f>M887*N887</f>
        <v>900</v>
      </c>
      <c r="P887" s="14">
        <f>O887*$S$3</f>
        <v>13.5</v>
      </c>
    </row>
    <row r="888" spans="1:16">
      <c r="A888" s="2">
        <v>887</v>
      </c>
      <c r="B888" s="4">
        <f>YEAR(G888)</f>
        <v>2023</v>
      </c>
      <c r="C888" s="4">
        <f>MONTH(G888)</f>
        <v>6</v>
      </c>
      <c r="D888" s="4">
        <f>DAY(G888)</f>
        <v>11</v>
      </c>
      <c r="E888" s="4" t="str">
        <f>TEXT(G888, "mmmm")</f>
        <v>June</v>
      </c>
      <c r="F888" s="4" t="str">
        <f>TEXT(G888, "dddd")</f>
        <v>Sunday</v>
      </c>
      <c r="G888" s="3">
        <v>45088</v>
      </c>
      <c r="H888" s="4" t="s">
        <v>914</v>
      </c>
      <c r="I888" s="4" t="s">
        <v>16</v>
      </c>
      <c r="J888" s="4">
        <v>59</v>
      </c>
      <c r="K888" s="4" t="str" cm="1">
        <f t="array" ref="K888">_xlfn.IFS(J888&lt;30, "Young Adult", J888&lt;50, "Adult", J888&gt;=50, "Senior")</f>
        <v>Senior</v>
      </c>
      <c r="L888" s="4" t="s">
        <v>21</v>
      </c>
      <c r="M888" s="4">
        <v>4</v>
      </c>
      <c r="N888" s="5">
        <v>25</v>
      </c>
      <c r="O888">
        <f>M888*N888</f>
        <v>100</v>
      </c>
      <c r="P888" s="14">
        <f>O888*$S$3</f>
        <v>1.5</v>
      </c>
    </row>
    <row r="889" spans="1:16">
      <c r="A889" s="2">
        <v>888</v>
      </c>
      <c r="B889" s="4">
        <f>YEAR(G889)</f>
        <v>2023</v>
      </c>
      <c r="C889" s="4">
        <f>MONTH(G889)</f>
        <v>3</v>
      </c>
      <c r="D889" s="4">
        <f>DAY(G889)</f>
        <v>3</v>
      </c>
      <c r="E889" s="4" t="str">
        <f>TEXT(G889, "mmmm")</f>
        <v>March</v>
      </c>
      <c r="F889" s="4" t="str">
        <f>TEXT(G889, "dddd")</f>
        <v>Friday</v>
      </c>
      <c r="G889" s="3">
        <v>44988</v>
      </c>
      <c r="H889" s="4" t="s">
        <v>915</v>
      </c>
      <c r="I889" s="4" t="s">
        <v>20</v>
      </c>
      <c r="J889" s="4">
        <v>52</v>
      </c>
      <c r="K889" s="4" t="str" cm="1">
        <f t="array" ref="K889">_xlfn.IFS(J889&lt;30, "Young Adult", J889&lt;50, "Adult", J889&gt;=50, "Senior")</f>
        <v>Senior</v>
      </c>
      <c r="L889" s="4" t="s">
        <v>24</v>
      </c>
      <c r="M889" s="4">
        <v>4</v>
      </c>
      <c r="N889" s="5">
        <v>25</v>
      </c>
      <c r="O889">
        <f>M889*N889</f>
        <v>100</v>
      </c>
      <c r="P889" s="14">
        <f>O889*$S$3</f>
        <v>1.5</v>
      </c>
    </row>
    <row r="890" spans="1:16">
      <c r="A890" s="2">
        <v>889</v>
      </c>
      <c r="B890" s="4">
        <f>YEAR(G890)</f>
        <v>2023</v>
      </c>
      <c r="C890" s="4">
        <f>MONTH(G890)</f>
        <v>10</v>
      </c>
      <c r="D890" s="4">
        <f>DAY(G890)</f>
        <v>2</v>
      </c>
      <c r="E890" s="4" t="str">
        <f>TEXT(G890, "mmmm")</f>
        <v>October</v>
      </c>
      <c r="F890" s="4" t="str">
        <f>TEXT(G890, "dddd")</f>
        <v>Monday</v>
      </c>
      <c r="G890" s="3">
        <v>45201</v>
      </c>
      <c r="H890" s="4" t="s">
        <v>916</v>
      </c>
      <c r="I890" s="4" t="s">
        <v>20</v>
      </c>
      <c r="J890" s="4">
        <v>35</v>
      </c>
      <c r="K890" s="4" t="str" cm="1">
        <f t="array" ref="K890">_xlfn.IFS(J890&lt;30, "Young Adult", J890&lt;50, "Adult", J890&gt;=50, "Senior")</f>
        <v>Adult</v>
      </c>
      <c r="L890" s="4" t="s">
        <v>24</v>
      </c>
      <c r="M890" s="4">
        <v>1</v>
      </c>
      <c r="N890" s="5">
        <v>50</v>
      </c>
      <c r="O890">
        <f>M890*N890</f>
        <v>50</v>
      </c>
      <c r="P890" s="14">
        <f>O890*$S$3</f>
        <v>0.75</v>
      </c>
    </row>
    <row r="891" spans="1:16">
      <c r="A891" s="2">
        <v>890</v>
      </c>
      <c r="B891" s="4">
        <f>YEAR(G891)</f>
        <v>2023</v>
      </c>
      <c r="C891" s="4">
        <f>MONTH(G891)</f>
        <v>12</v>
      </c>
      <c r="D891" s="4">
        <f>DAY(G891)</f>
        <v>20</v>
      </c>
      <c r="E891" s="4" t="str">
        <f>TEXT(G891, "mmmm")</f>
        <v>December</v>
      </c>
      <c r="F891" s="4" t="str">
        <f>TEXT(G891, "dddd")</f>
        <v>Wednesday</v>
      </c>
      <c r="G891" s="3">
        <v>45280</v>
      </c>
      <c r="H891" s="4" t="s">
        <v>917</v>
      </c>
      <c r="I891" s="4" t="s">
        <v>16</v>
      </c>
      <c r="J891" s="4">
        <v>34</v>
      </c>
      <c r="K891" s="4" t="str" cm="1">
        <f t="array" ref="K891">_xlfn.IFS(J891&lt;30, "Young Adult", J891&lt;50, "Adult", J891&gt;=50, "Senior")</f>
        <v>Adult</v>
      </c>
      <c r="L891" s="4" t="s">
        <v>24</v>
      </c>
      <c r="M891" s="4">
        <v>2</v>
      </c>
      <c r="N891" s="5">
        <v>25</v>
      </c>
      <c r="O891">
        <f>M891*N891</f>
        <v>50</v>
      </c>
      <c r="P891" s="14">
        <f>O891*$S$3</f>
        <v>0.75</v>
      </c>
    </row>
    <row r="892" spans="1:16">
      <c r="A892" s="2">
        <v>891</v>
      </c>
      <c r="B892" s="4">
        <f>YEAR(G892)</f>
        <v>2023</v>
      </c>
      <c r="C892" s="4">
        <f>MONTH(G892)</f>
        <v>4</v>
      </c>
      <c r="D892" s="4">
        <f>DAY(G892)</f>
        <v>5</v>
      </c>
      <c r="E892" s="4" t="str">
        <f>TEXT(G892, "mmmm")</f>
        <v>April</v>
      </c>
      <c r="F892" s="4" t="str">
        <f>TEXT(G892, "dddd")</f>
        <v>Wednesday</v>
      </c>
      <c r="G892" s="3">
        <v>45021</v>
      </c>
      <c r="H892" s="4" t="s">
        <v>918</v>
      </c>
      <c r="I892" s="4" t="s">
        <v>16</v>
      </c>
      <c r="J892" s="4">
        <v>41</v>
      </c>
      <c r="K892" s="4" t="str" cm="1">
        <f t="array" ref="K892">_xlfn.IFS(J892&lt;30, "Young Adult", J892&lt;50, "Adult", J892&gt;=50, "Senior")</f>
        <v>Adult</v>
      </c>
      <c r="L892" s="4" t="s">
        <v>24</v>
      </c>
      <c r="M892" s="4">
        <v>3</v>
      </c>
      <c r="N892" s="5">
        <v>300</v>
      </c>
      <c r="O892">
        <f>M892*N892</f>
        <v>900</v>
      </c>
      <c r="P892" s="14">
        <f>O892*$S$3</f>
        <v>13.5</v>
      </c>
    </row>
    <row r="893" spans="1:16">
      <c r="A893" s="2">
        <v>892</v>
      </c>
      <c r="B893" s="4">
        <f>YEAR(G893)</f>
        <v>2023</v>
      </c>
      <c r="C893" s="4">
        <f>MONTH(G893)</f>
        <v>4</v>
      </c>
      <c r="D893" s="4">
        <f>DAY(G893)</f>
        <v>9</v>
      </c>
      <c r="E893" s="4" t="str">
        <f>TEXT(G893, "mmmm")</f>
        <v>April</v>
      </c>
      <c r="F893" s="4" t="str">
        <f>TEXT(G893, "dddd")</f>
        <v>Sunday</v>
      </c>
      <c r="G893" s="3">
        <v>45025</v>
      </c>
      <c r="H893" s="4" t="s">
        <v>919</v>
      </c>
      <c r="I893" s="4" t="s">
        <v>16</v>
      </c>
      <c r="J893" s="4">
        <v>20</v>
      </c>
      <c r="K893" s="4" t="str" cm="1">
        <f t="array" ref="K893">_xlfn.IFS(J893&lt;30, "Young Adult", J893&lt;50, "Adult", J893&gt;=50, "Senior")</f>
        <v>Young Adult</v>
      </c>
      <c r="L893" s="4" t="s">
        <v>24</v>
      </c>
      <c r="M893" s="4">
        <v>1</v>
      </c>
      <c r="N893" s="5">
        <v>50</v>
      </c>
      <c r="O893">
        <f>M893*N893</f>
        <v>50</v>
      </c>
      <c r="P893" s="14">
        <f>O893*$S$3</f>
        <v>0.75</v>
      </c>
    </row>
    <row r="894" spans="1:16">
      <c r="A894" s="2">
        <v>893</v>
      </c>
      <c r="B894" s="4">
        <f>YEAR(G894)</f>
        <v>2023</v>
      </c>
      <c r="C894" s="4">
        <f>MONTH(G894)</f>
        <v>4</v>
      </c>
      <c r="D894" s="4">
        <f>DAY(G894)</f>
        <v>21</v>
      </c>
      <c r="E894" s="4" t="str">
        <f>TEXT(G894, "mmmm")</f>
        <v>April</v>
      </c>
      <c r="F894" s="4" t="str">
        <f>TEXT(G894, "dddd")</f>
        <v>Friday</v>
      </c>
      <c r="G894" s="3">
        <v>45037</v>
      </c>
      <c r="H894" s="4" t="s">
        <v>920</v>
      </c>
      <c r="I894" s="4" t="s">
        <v>16</v>
      </c>
      <c r="J894" s="4">
        <v>49</v>
      </c>
      <c r="K894" s="4" t="str" cm="1">
        <f t="array" ref="K894">_xlfn.IFS(J894&lt;30, "Young Adult", J894&lt;50, "Adult", J894&gt;=50, "Senior")</f>
        <v>Adult</v>
      </c>
      <c r="L894" s="4" t="s">
        <v>24</v>
      </c>
      <c r="M894" s="4">
        <v>1</v>
      </c>
      <c r="N894" s="5">
        <v>50</v>
      </c>
      <c r="O894">
        <f>M894*N894</f>
        <v>50</v>
      </c>
      <c r="P894" s="14">
        <f>O894*$S$3</f>
        <v>0.75</v>
      </c>
    </row>
    <row r="895" spans="1:16">
      <c r="A895" s="2">
        <v>894</v>
      </c>
      <c r="B895" s="4">
        <f>YEAR(G895)</f>
        <v>2023</v>
      </c>
      <c r="C895" s="4">
        <f>MONTH(G895)</f>
        <v>9</v>
      </c>
      <c r="D895" s="4">
        <f>DAY(G895)</f>
        <v>5</v>
      </c>
      <c r="E895" s="4" t="str">
        <f>TEXT(G895, "mmmm")</f>
        <v>September</v>
      </c>
      <c r="F895" s="4" t="str">
        <f>TEXT(G895, "dddd")</f>
        <v>Tuesday</v>
      </c>
      <c r="G895" s="3">
        <v>45174</v>
      </c>
      <c r="H895" s="4" t="s">
        <v>921</v>
      </c>
      <c r="I895" s="4" t="s">
        <v>16</v>
      </c>
      <c r="J895" s="4">
        <v>52</v>
      </c>
      <c r="K895" s="4" t="str" cm="1">
        <f t="array" ref="K895">_xlfn.IFS(J895&lt;30, "Young Adult", J895&lt;50, "Adult", J895&gt;=50, "Senior")</f>
        <v>Senior</v>
      </c>
      <c r="L895" s="4" t="s">
        <v>24</v>
      </c>
      <c r="M895" s="4">
        <v>1</v>
      </c>
      <c r="N895" s="5">
        <v>30</v>
      </c>
      <c r="O895">
        <f>M895*N895</f>
        <v>30</v>
      </c>
      <c r="P895" s="14">
        <f>O895*$S$3</f>
        <v>0.44999999999999996</v>
      </c>
    </row>
    <row r="896" spans="1:16">
      <c r="A896" s="2">
        <v>895</v>
      </c>
      <c r="B896" s="4">
        <f>YEAR(G896)</f>
        <v>2023</v>
      </c>
      <c r="C896" s="4">
        <f>MONTH(G896)</f>
        <v>5</v>
      </c>
      <c r="D896" s="4">
        <f>DAY(G896)</f>
        <v>22</v>
      </c>
      <c r="E896" s="4" t="str">
        <f>TEXT(G896, "mmmm")</f>
        <v>May</v>
      </c>
      <c r="F896" s="4" t="str">
        <f>TEXT(G896, "dddd")</f>
        <v>Monday</v>
      </c>
      <c r="G896" s="3">
        <v>45068</v>
      </c>
      <c r="H896" s="4" t="s">
        <v>922</v>
      </c>
      <c r="I896" s="4" t="s">
        <v>20</v>
      </c>
      <c r="J896" s="4">
        <v>55</v>
      </c>
      <c r="K896" s="4" t="str" cm="1">
        <f t="array" ref="K896">_xlfn.IFS(J896&lt;30, "Young Adult", J896&lt;50, "Adult", J896&gt;=50, "Senior")</f>
        <v>Senior</v>
      </c>
      <c r="L896" s="4" t="s">
        <v>21</v>
      </c>
      <c r="M896" s="4">
        <v>4</v>
      </c>
      <c r="N896" s="5">
        <v>30</v>
      </c>
      <c r="O896">
        <f>M896*N896</f>
        <v>120</v>
      </c>
      <c r="P896" s="14">
        <f>O896*$S$3</f>
        <v>1.7999999999999998</v>
      </c>
    </row>
    <row r="897" spans="1:16">
      <c r="A897" s="2">
        <v>896</v>
      </c>
      <c r="B897" s="4">
        <f>YEAR(G897)</f>
        <v>2023</v>
      </c>
      <c r="C897" s="4">
        <f>MONTH(G897)</f>
        <v>10</v>
      </c>
      <c r="D897" s="4">
        <f>DAY(G897)</f>
        <v>29</v>
      </c>
      <c r="E897" s="4" t="str">
        <f>TEXT(G897, "mmmm")</f>
        <v>October</v>
      </c>
      <c r="F897" s="4" t="str">
        <f>TEXT(G897, "dddd")</f>
        <v>Sunday</v>
      </c>
      <c r="G897" s="3">
        <v>45228</v>
      </c>
      <c r="H897" s="4" t="s">
        <v>923</v>
      </c>
      <c r="I897" s="4" t="s">
        <v>20</v>
      </c>
      <c r="J897" s="4">
        <v>30</v>
      </c>
      <c r="K897" s="4" t="str" cm="1">
        <f t="array" ref="K897">_xlfn.IFS(J897&lt;30, "Young Adult", J897&lt;50, "Adult", J897&gt;=50, "Senior")</f>
        <v>Adult</v>
      </c>
      <c r="L897" s="4" t="s">
        <v>24</v>
      </c>
      <c r="M897" s="4">
        <v>2</v>
      </c>
      <c r="N897" s="5">
        <v>25</v>
      </c>
      <c r="O897">
        <f>M897*N897</f>
        <v>50</v>
      </c>
      <c r="P897" s="14">
        <f>O897*$S$3</f>
        <v>0.75</v>
      </c>
    </row>
    <row r="898" spans="1:16">
      <c r="A898" s="2">
        <v>897</v>
      </c>
      <c r="B898" s="4">
        <f>YEAR(G898)</f>
        <v>2023</v>
      </c>
      <c r="C898" s="4">
        <f>MONTH(G898)</f>
        <v>9</v>
      </c>
      <c r="D898" s="4">
        <f>DAY(G898)</f>
        <v>26</v>
      </c>
      <c r="E898" s="4" t="str">
        <f>TEXT(G898, "mmmm")</f>
        <v>September</v>
      </c>
      <c r="F898" s="4" t="str">
        <f>TEXT(G898, "dddd")</f>
        <v>Tuesday</v>
      </c>
      <c r="G898" s="3">
        <v>45195</v>
      </c>
      <c r="H898" s="4" t="s">
        <v>924</v>
      </c>
      <c r="I898" s="4" t="s">
        <v>20</v>
      </c>
      <c r="J898" s="4">
        <v>64</v>
      </c>
      <c r="K898" s="4" t="str" cm="1">
        <f t="array" ref="K898">_xlfn.IFS(J898&lt;30, "Young Adult", J898&lt;50, "Adult", J898&gt;=50, "Senior")</f>
        <v>Senior</v>
      </c>
      <c r="L898" s="4" t="s">
        <v>24</v>
      </c>
      <c r="M898" s="4">
        <v>2</v>
      </c>
      <c r="N898" s="5">
        <v>50</v>
      </c>
      <c r="O898">
        <f>M898*N898</f>
        <v>100</v>
      </c>
      <c r="P898" s="14">
        <f>O898*$S$3</f>
        <v>1.5</v>
      </c>
    </row>
    <row r="899" spans="1:16">
      <c r="A899" s="2">
        <v>898</v>
      </c>
      <c r="B899" s="4">
        <f>YEAR(G899)</f>
        <v>2023</v>
      </c>
      <c r="C899" s="4">
        <f>MONTH(G899)</f>
        <v>11</v>
      </c>
      <c r="D899" s="4">
        <f>DAY(G899)</f>
        <v>2</v>
      </c>
      <c r="E899" s="4" t="str">
        <f>TEXT(G899, "mmmm")</f>
        <v>November</v>
      </c>
      <c r="F899" s="4" t="str">
        <f>TEXT(G899, "dddd")</f>
        <v>Thursday</v>
      </c>
      <c r="G899" s="3">
        <v>45232</v>
      </c>
      <c r="H899" s="4" t="s">
        <v>925</v>
      </c>
      <c r="I899" s="4" t="s">
        <v>20</v>
      </c>
      <c r="J899" s="4">
        <v>42</v>
      </c>
      <c r="K899" s="4" t="str" cm="1">
        <f t="array" ref="K899">_xlfn.IFS(J899&lt;30, "Young Adult", J899&lt;50, "Adult", J899&gt;=50, "Senior")</f>
        <v>Adult</v>
      </c>
      <c r="L899" s="4" t="s">
        <v>21</v>
      </c>
      <c r="M899" s="4">
        <v>3</v>
      </c>
      <c r="N899" s="5">
        <v>30</v>
      </c>
      <c r="O899">
        <f>M899*N899</f>
        <v>90</v>
      </c>
      <c r="P899" s="14">
        <f>O899*$S$3</f>
        <v>1.3499999999999999</v>
      </c>
    </row>
    <row r="900" spans="1:16">
      <c r="A900" s="2">
        <v>899</v>
      </c>
      <c r="B900" s="4">
        <f>YEAR(G900)</f>
        <v>2023</v>
      </c>
      <c r="C900" s="4">
        <f>MONTH(G900)</f>
        <v>5</v>
      </c>
      <c r="D900" s="4">
        <f>DAY(G900)</f>
        <v>25</v>
      </c>
      <c r="E900" s="4" t="str">
        <f>TEXT(G900, "mmmm")</f>
        <v>May</v>
      </c>
      <c r="F900" s="4" t="str">
        <f>TEXT(G900, "dddd")</f>
        <v>Thursday</v>
      </c>
      <c r="G900" s="3">
        <v>45071</v>
      </c>
      <c r="H900" s="4" t="s">
        <v>926</v>
      </c>
      <c r="I900" s="4" t="s">
        <v>16</v>
      </c>
      <c r="J900" s="4">
        <v>26</v>
      </c>
      <c r="K900" s="4" t="str" cm="1">
        <f t="array" ref="K900">_xlfn.IFS(J900&lt;30, "Young Adult", J900&lt;50, "Adult", J900&gt;=50, "Senior")</f>
        <v>Young Adult</v>
      </c>
      <c r="L900" s="4" t="s">
        <v>21</v>
      </c>
      <c r="M900" s="4">
        <v>2</v>
      </c>
      <c r="N900" s="5">
        <v>300</v>
      </c>
      <c r="O900">
        <f>M900*N900</f>
        <v>600</v>
      </c>
      <c r="P900" s="14">
        <f>O900*$S$3</f>
        <v>9</v>
      </c>
    </row>
    <row r="901" spans="1:16">
      <c r="A901" s="2">
        <v>900</v>
      </c>
      <c r="B901" s="4">
        <f>YEAR(G901)</f>
        <v>2023</v>
      </c>
      <c r="C901" s="4">
        <f>MONTH(G901)</f>
        <v>2</v>
      </c>
      <c r="D901" s="4">
        <f>DAY(G901)</f>
        <v>21</v>
      </c>
      <c r="E901" s="4" t="str">
        <f>TEXT(G901, "mmmm")</f>
        <v>February</v>
      </c>
      <c r="F901" s="4" t="str">
        <f>TEXT(G901, "dddd")</f>
        <v>Tuesday</v>
      </c>
      <c r="G901" s="3">
        <v>44978</v>
      </c>
      <c r="H901" s="4" t="s">
        <v>927</v>
      </c>
      <c r="I901" s="4" t="s">
        <v>16</v>
      </c>
      <c r="J901" s="4">
        <v>21</v>
      </c>
      <c r="K901" s="4" t="str" cm="1">
        <f t="array" ref="K901">_xlfn.IFS(J901&lt;30, "Young Adult", J901&lt;50, "Adult", J901&gt;=50, "Senior")</f>
        <v>Young Adult</v>
      </c>
      <c r="L901" s="4" t="s">
        <v>21</v>
      </c>
      <c r="M901" s="4">
        <v>2</v>
      </c>
      <c r="N901" s="5">
        <v>30</v>
      </c>
      <c r="O901">
        <f>M901*N901</f>
        <v>60</v>
      </c>
      <c r="P901" s="14">
        <f>O901*$S$3</f>
        <v>0.89999999999999991</v>
      </c>
    </row>
    <row r="902" spans="1:16">
      <c r="A902" s="2">
        <v>901</v>
      </c>
      <c r="B902" s="4">
        <f>YEAR(G902)</f>
        <v>2023</v>
      </c>
      <c r="C902" s="4">
        <f>MONTH(G902)</f>
        <v>4</v>
      </c>
      <c r="D902" s="4">
        <f>DAY(G902)</f>
        <v>10</v>
      </c>
      <c r="E902" s="4" t="str">
        <f>TEXT(G902, "mmmm")</f>
        <v>April</v>
      </c>
      <c r="F902" s="4" t="str">
        <f>TEXT(G902, "dddd")</f>
        <v>Monday</v>
      </c>
      <c r="G902" s="3">
        <v>45026</v>
      </c>
      <c r="H902" s="4" t="s">
        <v>928</v>
      </c>
      <c r="I902" s="4" t="s">
        <v>16</v>
      </c>
      <c r="J902" s="4">
        <v>31</v>
      </c>
      <c r="K902" s="4" t="str" cm="1">
        <f t="array" ref="K902">_xlfn.IFS(J902&lt;30, "Young Adult", J902&lt;50, "Adult", J902&gt;=50, "Senior")</f>
        <v>Adult</v>
      </c>
      <c r="L902" s="4" t="s">
        <v>24</v>
      </c>
      <c r="M902" s="4">
        <v>1</v>
      </c>
      <c r="N902" s="5">
        <v>30</v>
      </c>
      <c r="O902">
        <f>M902*N902</f>
        <v>30</v>
      </c>
      <c r="P902" s="14">
        <f>O902*$S$3</f>
        <v>0.44999999999999996</v>
      </c>
    </row>
    <row r="903" spans="1:16">
      <c r="A903" s="2">
        <v>902</v>
      </c>
      <c r="B903" s="4">
        <f>YEAR(G903)</f>
        <v>2023</v>
      </c>
      <c r="C903" s="4">
        <f>MONTH(G903)</f>
        <v>6</v>
      </c>
      <c r="D903" s="4">
        <f>DAY(G903)</f>
        <v>1</v>
      </c>
      <c r="E903" s="4" t="str">
        <f>TEXT(G903, "mmmm")</f>
        <v>June</v>
      </c>
      <c r="F903" s="4" t="str">
        <f>TEXT(G903, "dddd")</f>
        <v>Thursday</v>
      </c>
      <c r="G903" s="3">
        <v>45078</v>
      </c>
      <c r="H903" s="4" t="s">
        <v>929</v>
      </c>
      <c r="I903" s="4" t="s">
        <v>20</v>
      </c>
      <c r="J903" s="4">
        <v>54</v>
      </c>
      <c r="K903" s="4" t="str" cm="1">
        <f t="array" ref="K903">_xlfn.IFS(J903&lt;30, "Young Adult", J903&lt;50, "Adult", J903&gt;=50, "Senior")</f>
        <v>Senior</v>
      </c>
      <c r="L903" s="4" t="s">
        <v>17</v>
      </c>
      <c r="M903" s="4">
        <v>1</v>
      </c>
      <c r="N903" s="5">
        <v>50</v>
      </c>
      <c r="O903">
        <f>M903*N903</f>
        <v>50</v>
      </c>
      <c r="P903" s="14">
        <f>O903*$S$3</f>
        <v>0.75</v>
      </c>
    </row>
    <row r="904" spans="1:16">
      <c r="A904" s="2">
        <v>903</v>
      </c>
      <c r="B904" s="4">
        <f>YEAR(G904)</f>
        <v>2023</v>
      </c>
      <c r="C904" s="4">
        <f>MONTH(G904)</f>
        <v>4</v>
      </c>
      <c r="D904" s="4">
        <f>DAY(G904)</f>
        <v>27</v>
      </c>
      <c r="E904" s="4" t="str">
        <f>TEXT(G904, "mmmm")</f>
        <v>April</v>
      </c>
      <c r="F904" s="4" t="str">
        <f>TEXT(G904, "dddd")</f>
        <v>Thursday</v>
      </c>
      <c r="G904" s="3">
        <v>45043</v>
      </c>
      <c r="H904" s="4" t="s">
        <v>930</v>
      </c>
      <c r="I904" s="4" t="s">
        <v>20</v>
      </c>
      <c r="J904" s="4">
        <v>51</v>
      </c>
      <c r="K904" s="4" t="str" cm="1">
        <f t="array" ref="K904">_xlfn.IFS(J904&lt;30, "Young Adult", J904&lt;50, "Adult", J904&gt;=50, "Senior")</f>
        <v>Senior</v>
      </c>
      <c r="L904" s="4" t="s">
        <v>17</v>
      </c>
      <c r="M904" s="4">
        <v>4</v>
      </c>
      <c r="N904" s="5">
        <v>50</v>
      </c>
      <c r="O904">
        <f>M904*N904</f>
        <v>200</v>
      </c>
      <c r="P904" s="14">
        <f>O904*$S$3</f>
        <v>3</v>
      </c>
    </row>
    <row r="905" spans="1:16">
      <c r="A905" s="2">
        <v>904</v>
      </c>
      <c r="B905" s="4">
        <f>YEAR(G905)</f>
        <v>2023</v>
      </c>
      <c r="C905" s="4">
        <f>MONTH(G905)</f>
        <v>7</v>
      </c>
      <c r="D905" s="4">
        <f>DAY(G905)</f>
        <v>4</v>
      </c>
      <c r="E905" s="4" t="str">
        <f>TEXT(G905, "mmmm")</f>
        <v>July</v>
      </c>
      <c r="F905" s="4" t="str">
        <f>TEXT(G905, "dddd")</f>
        <v>Tuesday</v>
      </c>
      <c r="G905" s="3">
        <v>45111</v>
      </c>
      <c r="H905" s="4" t="s">
        <v>931</v>
      </c>
      <c r="I905" s="4" t="s">
        <v>16</v>
      </c>
      <c r="J905" s="4">
        <v>28</v>
      </c>
      <c r="K905" s="4" t="str" cm="1">
        <f t="array" ref="K905">_xlfn.IFS(J905&lt;30, "Young Adult", J905&lt;50, "Adult", J905&gt;=50, "Senior")</f>
        <v>Young Adult</v>
      </c>
      <c r="L905" s="4" t="s">
        <v>21</v>
      </c>
      <c r="M905" s="4">
        <v>1</v>
      </c>
      <c r="N905" s="5">
        <v>500</v>
      </c>
      <c r="O905">
        <f>M905*N905</f>
        <v>500</v>
      </c>
      <c r="P905" s="14">
        <f>O905*$S$3</f>
        <v>7.5</v>
      </c>
    </row>
    <row r="906" spans="1:16">
      <c r="A906" s="2">
        <v>905</v>
      </c>
      <c r="B906" s="4">
        <f>YEAR(G906)</f>
        <v>2023</v>
      </c>
      <c r="C906" s="4">
        <f>MONTH(G906)</f>
        <v>4</v>
      </c>
      <c r="D906" s="4">
        <f>DAY(G906)</f>
        <v>2</v>
      </c>
      <c r="E906" s="4" t="str">
        <f>TEXT(G906, "mmmm")</f>
        <v>April</v>
      </c>
      <c r="F906" s="4" t="str">
        <f>TEXT(G906, "dddd")</f>
        <v>Sunday</v>
      </c>
      <c r="G906" s="3">
        <v>45018</v>
      </c>
      <c r="H906" s="4" t="s">
        <v>932</v>
      </c>
      <c r="I906" s="4" t="s">
        <v>16</v>
      </c>
      <c r="J906" s="4">
        <v>58</v>
      </c>
      <c r="K906" s="4" t="str" cm="1">
        <f t="array" ref="K906">_xlfn.IFS(J906&lt;30, "Young Adult", J906&lt;50, "Adult", J906&gt;=50, "Senior")</f>
        <v>Senior</v>
      </c>
      <c r="L906" s="4" t="s">
        <v>17</v>
      </c>
      <c r="M906" s="4">
        <v>1</v>
      </c>
      <c r="N906" s="5">
        <v>300</v>
      </c>
      <c r="O906">
        <f>M906*N906</f>
        <v>300</v>
      </c>
      <c r="P906" s="14">
        <f>O906*$S$3</f>
        <v>4.5</v>
      </c>
    </row>
    <row r="907" spans="1:16">
      <c r="A907" s="2">
        <v>906</v>
      </c>
      <c r="B907" s="4">
        <f>YEAR(G907)</f>
        <v>2023</v>
      </c>
      <c r="C907" s="4">
        <f>MONTH(G907)</f>
        <v>6</v>
      </c>
      <c r="D907" s="4">
        <f>DAY(G907)</f>
        <v>4</v>
      </c>
      <c r="E907" s="4" t="str">
        <f>TEXT(G907, "mmmm")</f>
        <v>June</v>
      </c>
      <c r="F907" s="4" t="str">
        <f>TEXT(G907, "dddd")</f>
        <v>Sunday</v>
      </c>
      <c r="G907" s="3">
        <v>45081</v>
      </c>
      <c r="H907" s="4" t="s">
        <v>933</v>
      </c>
      <c r="I907" s="4" t="s">
        <v>20</v>
      </c>
      <c r="J907" s="4">
        <v>20</v>
      </c>
      <c r="K907" s="4" t="str" cm="1">
        <f t="array" ref="K907">_xlfn.IFS(J907&lt;30, "Young Adult", J907&lt;50, "Adult", J907&gt;=50, "Senior")</f>
        <v>Young Adult</v>
      </c>
      <c r="L907" s="4" t="s">
        <v>21</v>
      </c>
      <c r="M907" s="4">
        <v>1</v>
      </c>
      <c r="N907" s="5">
        <v>50</v>
      </c>
      <c r="O907">
        <f>M907*N907</f>
        <v>50</v>
      </c>
      <c r="P907" s="14">
        <f>O907*$S$3</f>
        <v>0.75</v>
      </c>
    </row>
    <row r="908" spans="1:16">
      <c r="A908" s="2">
        <v>907</v>
      </c>
      <c r="B908" s="4">
        <f>YEAR(G908)</f>
        <v>2023</v>
      </c>
      <c r="C908" s="4">
        <f>MONTH(G908)</f>
        <v>1</v>
      </c>
      <c r="D908" s="4">
        <f>DAY(G908)</f>
        <v>8</v>
      </c>
      <c r="E908" s="4" t="str">
        <f>TEXT(G908, "mmmm")</f>
        <v>January</v>
      </c>
      <c r="F908" s="4" t="str">
        <f>TEXT(G908, "dddd")</f>
        <v>Sunday</v>
      </c>
      <c r="G908" s="3">
        <v>44934</v>
      </c>
      <c r="H908" s="4" t="s">
        <v>934</v>
      </c>
      <c r="I908" s="4" t="s">
        <v>20</v>
      </c>
      <c r="J908" s="4">
        <v>45</v>
      </c>
      <c r="K908" s="4" t="str" cm="1">
        <f t="array" ref="K908">_xlfn.IFS(J908&lt;30, "Young Adult", J908&lt;50, "Adult", J908&gt;=50, "Senior")</f>
        <v>Adult</v>
      </c>
      <c r="L908" s="4" t="s">
        <v>24</v>
      </c>
      <c r="M908" s="4">
        <v>1</v>
      </c>
      <c r="N908" s="5">
        <v>25</v>
      </c>
      <c r="O908">
        <f>M908*N908</f>
        <v>25</v>
      </c>
      <c r="P908" s="14">
        <f>O908*$S$3</f>
        <v>0.375</v>
      </c>
    </row>
    <row r="909" spans="1:16">
      <c r="A909" s="2">
        <v>908</v>
      </c>
      <c r="B909" s="4">
        <f>YEAR(G909)</f>
        <v>2023</v>
      </c>
      <c r="C909" s="4">
        <f>MONTH(G909)</f>
        <v>12</v>
      </c>
      <c r="D909" s="4">
        <f>DAY(G909)</f>
        <v>29</v>
      </c>
      <c r="E909" s="4" t="str">
        <f>TEXT(G909, "mmmm")</f>
        <v>December</v>
      </c>
      <c r="F909" s="4" t="str">
        <f>TEXT(G909, "dddd")</f>
        <v>Friday</v>
      </c>
      <c r="G909" s="3">
        <v>45289</v>
      </c>
      <c r="H909" s="4" t="s">
        <v>935</v>
      </c>
      <c r="I909" s="4" t="s">
        <v>16</v>
      </c>
      <c r="J909" s="4">
        <v>46</v>
      </c>
      <c r="K909" s="4" t="str" cm="1">
        <f t="array" ref="K909">_xlfn.IFS(J909&lt;30, "Young Adult", J909&lt;50, "Adult", J909&gt;=50, "Senior")</f>
        <v>Adult</v>
      </c>
      <c r="L909" s="4" t="s">
        <v>17</v>
      </c>
      <c r="M909" s="4">
        <v>4</v>
      </c>
      <c r="N909" s="5">
        <v>300</v>
      </c>
      <c r="O909">
        <f>M909*N909</f>
        <v>1200</v>
      </c>
      <c r="P909" s="14">
        <f>O909*$S$3</f>
        <v>18</v>
      </c>
    </row>
    <row r="910" spans="1:16">
      <c r="A910" s="2">
        <v>909</v>
      </c>
      <c r="B910" s="4">
        <f>YEAR(G910)</f>
        <v>2023</v>
      </c>
      <c r="C910" s="4">
        <f>MONTH(G910)</f>
        <v>10</v>
      </c>
      <c r="D910" s="4">
        <f>DAY(G910)</f>
        <v>1</v>
      </c>
      <c r="E910" s="4" t="str">
        <f>TEXT(G910, "mmmm")</f>
        <v>October</v>
      </c>
      <c r="F910" s="4" t="str">
        <f>TEXT(G910, "dddd")</f>
        <v>Sunday</v>
      </c>
      <c r="G910" s="3">
        <v>45200</v>
      </c>
      <c r="H910" s="4" t="s">
        <v>936</v>
      </c>
      <c r="I910" s="4" t="s">
        <v>16</v>
      </c>
      <c r="J910" s="4">
        <v>26</v>
      </c>
      <c r="K910" s="4" t="str" cm="1">
        <f t="array" ref="K910">_xlfn.IFS(J910&lt;30, "Young Adult", J910&lt;50, "Adult", J910&gt;=50, "Senior")</f>
        <v>Young Adult</v>
      </c>
      <c r="L910" s="4" t="s">
        <v>24</v>
      </c>
      <c r="M910" s="4">
        <v>1</v>
      </c>
      <c r="N910" s="5">
        <v>300</v>
      </c>
      <c r="O910">
        <f>M910*N910</f>
        <v>300</v>
      </c>
      <c r="P910" s="14">
        <f>O910*$S$3</f>
        <v>4.5</v>
      </c>
    </row>
    <row r="911" spans="1:16">
      <c r="A911" s="2">
        <v>910</v>
      </c>
      <c r="B911" s="4">
        <f>YEAR(G911)</f>
        <v>2023</v>
      </c>
      <c r="C911" s="4">
        <f>MONTH(G911)</f>
        <v>3</v>
      </c>
      <c r="D911" s="4">
        <f>DAY(G911)</f>
        <v>6</v>
      </c>
      <c r="E911" s="4" t="str">
        <f>TEXT(G911, "mmmm")</f>
        <v>March</v>
      </c>
      <c r="F911" s="4" t="str">
        <f>TEXT(G911, "dddd")</f>
        <v>Monday</v>
      </c>
      <c r="G911" s="3">
        <v>44991</v>
      </c>
      <c r="H911" s="4" t="s">
        <v>937</v>
      </c>
      <c r="I911" s="4" t="s">
        <v>20</v>
      </c>
      <c r="J911" s="4">
        <v>20</v>
      </c>
      <c r="K911" s="4" t="str" cm="1">
        <f t="array" ref="K911">_xlfn.IFS(J911&lt;30, "Young Adult", J911&lt;50, "Adult", J911&gt;=50, "Senior")</f>
        <v>Young Adult</v>
      </c>
      <c r="L911" s="4" t="s">
        <v>17</v>
      </c>
      <c r="M911" s="4">
        <v>3</v>
      </c>
      <c r="N911" s="5">
        <v>50</v>
      </c>
      <c r="O911">
        <f>M911*N911</f>
        <v>150</v>
      </c>
      <c r="P911" s="14">
        <f>O911*$S$3</f>
        <v>2.25</v>
      </c>
    </row>
    <row r="912" spans="1:16">
      <c r="A912" s="2">
        <v>911</v>
      </c>
      <c r="B912" s="4">
        <f>YEAR(G912)</f>
        <v>2023</v>
      </c>
      <c r="C912" s="4">
        <f>MONTH(G912)</f>
        <v>5</v>
      </c>
      <c r="D912" s="4">
        <f>DAY(G912)</f>
        <v>21</v>
      </c>
      <c r="E912" s="4" t="str">
        <f>TEXT(G912, "mmmm")</f>
        <v>May</v>
      </c>
      <c r="F912" s="4" t="str">
        <f>TEXT(G912, "dddd")</f>
        <v>Sunday</v>
      </c>
      <c r="G912" s="3">
        <v>45067</v>
      </c>
      <c r="H912" s="4" t="s">
        <v>938</v>
      </c>
      <c r="I912" s="4" t="s">
        <v>16</v>
      </c>
      <c r="J912" s="4">
        <v>42</v>
      </c>
      <c r="K912" s="4" t="str" cm="1">
        <f t="array" ref="K912">_xlfn.IFS(J912&lt;30, "Young Adult", J912&lt;50, "Adult", J912&gt;=50, "Senior")</f>
        <v>Adult</v>
      </c>
      <c r="L912" s="4" t="s">
        <v>24</v>
      </c>
      <c r="M912" s="4">
        <v>3</v>
      </c>
      <c r="N912" s="5">
        <v>300</v>
      </c>
      <c r="O912">
        <f>M912*N912</f>
        <v>900</v>
      </c>
      <c r="P912" s="14">
        <f>O912*$S$3</f>
        <v>13.5</v>
      </c>
    </row>
    <row r="913" spans="1:16">
      <c r="A913" s="2">
        <v>912</v>
      </c>
      <c r="B913" s="4">
        <f>YEAR(G913)</f>
        <v>2023</v>
      </c>
      <c r="C913" s="4">
        <f>MONTH(G913)</f>
        <v>1</v>
      </c>
      <c r="D913" s="4">
        <f>DAY(G913)</f>
        <v>24</v>
      </c>
      <c r="E913" s="4" t="str">
        <f>TEXT(G913, "mmmm")</f>
        <v>January</v>
      </c>
      <c r="F913" s="4" t="str">
        <f>TEXT(G913, "dddd")</f>
        <v>Tuesday</v>
      </c>
      <c r="G913" s="3">
        <v>44950</v>
      </c>
      <c r="H913" s="4" t="s">
        <v>939</v>
      </c>
      <c r="I913" s="4" t="s">
        <v>16</v>
      </c>
      <c r="J913" s="4">
        <v>51</v>
      </c>
      <c r="K913" s="4" t="str" cm="1">
        <f t="array" ref="K913">_xlfn.IFS(J913&lt;30, "Young Adult", J913&lt;50, "Adult", J913&gt;=50, "Senior")</f>
        <v>Senior</v>
      </c>
      <c r="L913" s="4" t="s">
        <v>17</v>
      </c>
      <c r="M913" s="4">
        <v>3</v>
      </c>
      <c r="N913" s="5">
        <v>50</v>
      </c>
      <c r="O913">
        <f>M913*N913</f>
        <v>150</v>
      </c>
      <c r="P913" s="14">
        <f>O913*$S$3</f>
        <v>2.25</v>
      </c>
    </row>
    <row r="914" spans="1:16">
      <c r="A914" s="2">
        <v>913</v>
      </c>
      <c r="B914" s="4">
        <f>YEAR(G914)</f>
        <v>2023</v>
      </c>
      <c r="C914" s="4">
        <f>MONTH(G914)</f>
        <v>1</v>
      </c>
      <c r="D914" s="4">
        <f>DAY(G914)</f>
        <v>28</v>
      </c>
      <c r="E914" s="4" t="str">
        <f>TEXT(G914, "mmmm")</f>
        <v>January</v>
      </c>
      <c r="F914" s="4" t="str">
        <f>TEXT(G914, "dddd")</f>
        <v>Saturday</v>
      </c>
      <c r="G914" s="3">
        <v>44954</v>
      </c>
      <c r="H914" s="4" t="s">
        <v>940</v>
      </c>
      <c r="I914" s="4" t="s">
        <v>16</v>
      </c>
      <c r="J914" s="4">
        <v>29</v>
      </c>
      <c r="K914" s="4" t="str" cm="1">
        <f t="array" ref="K914">_xlfn.IFS(J914&lt;30, "Young Adult", J914&lt;50, "Adult", J914&gt;=50, "Senior")</f>
        <v>Young Adult</v>
      </c>
      <c r="L914" s="4" t="s">
        <v>24</v>
      </c>
      <c r="M914" s="4">
        <v>3</v>
      </c>
      <c r="N914" s="5">
        <v>30</v>
      </c>
      <c r="O914">
        <f>M914*N914</f>
        <v>90</v>
      </c>
      <c r="P914" s="14">
        <f>O914*$S$3</f>
        <v>1.3499999999999999</v>
      </c>
    </row>
    <row r="915" spans="1:16">
      <c r="A915" s="2">
        <v>914</v>
      </c>
      <c r="B915" s="4">
        <f>YEAR(G915)</f>
        <v>2023</v>
      </c>
      <c r="C915" s="4">
        <f>MONTH(G915)</f>
        <v>10</v>
      </c>
      <c r="D915" s="4">
        <f>DAY(G915)</f>
        <v>11</v>
      </c>
      <c r="E915" s="4" t="str">
        <f>TEXT(G915, "mmmm")</f>
        <v>October</v>
      </c>
      <c r="F915" s="4" t="str">
        <f>TEXT(G915, "dddd")</f>
        <v>Wednesday</v>
      </c>
      <c r="G915" s="3">
        <v>45210</v>
      </c>
      <c r="H915" s="4" t="s">
        <v>941</v>
      </c>
      <c r="I915" s="4" t="s">
        <v>20</v>
      </c>
      <c r="J915" s="4">
        <v>59</v>
      </c>
      <c r="K915" s="4" t="str" cm="1">
        <f t="array" ref="K915">_xlfn.IFS(J915&lt;30, "Young Adult", J915&lt;50, "Adult", J915&gt;=50, "Senior")</f>
        <v>Senior</v>
      </c>
      <c r="L915" s="4" t="s">
        <v>24</v>
      </c>
      <c r="M915" s="4">
        <v>1</v>
      </c>
      <c r="N915" s="5">
        <v>500</v>
      </c>
      <c r="O915">
        <f>M915*N915</f>
        <v>500</v>
      </c>
      <c r="P915" s="14">
        <f>O915*$S$3</f>
        <v>7.5</v>
      </c>
    </row>
    <row r="916" spans="1:16">
      <c r="A916" s="2">
        <v>915</v>
      </c>
      <c r="B916" s="4">
        <f>YEAR(G916)</f>
        <v>2023</v>
      </c>
      <c r="C916" s="4">
        <f>MONTH(G916)</f>
        <v>5</v>
      </c>
      <c r="D916" s="4">
        <f>DAY(G916)</f>
        <v>30</v>
      </c>
      <c r="E916" s="4" t="str">
        <f>TEXT(G916, "mmmm")</f>
        <v>May</v>
      </c>
      <c r="F916" s="4" t="str">
        <f>TEXT(G916, "dddd")</f>
        <v>Tuesday</v>
      </c>
      <c r="G916" s="3">
        <v>45076</v>
      </c>
      <c r="H916" s="4" t="s">
        <v>942</v>
      </c>
      <c r="I916" s="4" t="s">
        <v>20</v>
      </c>
      <c r="J916" s="4">
        <v>26</v>
      </c>
      <c r="K916" s="4" t="str" cm="1">
        <f t="array" ref="K916">_xlfn.IFS(J916&lt;30, "Young Adult", J916&lt;50, "Adult", J916&gt;=50, "Senior")</f>
        <v>Young Adult</v>
      </c>
      <c r="L916" s="4" t="s">
        <v>17</v>
      </c>
      <c r="M916" s="4">
        <v>3</v>
      </c>
      <c r="N916" s="5">
        <v>30</v>
      </c>
      <c r="O916">
        <f>M916*N916</f>
        <v>90</v>
      </c>
      <c r="P916" s="14">
        <f>O916*$S$3</f>
        <v>1.3499999999999999</v>
      </c>
    </row>
    <row r="917" spans="1:16">
      <c r="A917" s="2">
        <v>916</v>
      </c>
      <c r="B917" s="4">
        <f>YEAR(G917)</f>
        <v>2023</v>
      </c>
      <c r="C917" s="4">
        <f>MONTH(G917)</f>
        <v>12</v>
      </c>
      <c r="D917" s="4">
        <f>DAY(G917)</f>
        <v>24</v>
      </c>
      <c r="E917" s="4" t="str">
        <f>TEXT(G917, "mmmm")</f>
        <v>December</v>
      </c>
      <c r="F917" s="4" t="str">
        <f>TEXT(G917, "dddd")</f>
        <v>Sunday</v>
      </c>
      <c r="G917" s="3">
        <v>45284</v>
      </c>
      <c r="H917" s="4" t="s">
        <v>943</v>
      </c>
      <c r="I917" s="4" t="s">
        <v>20</v>
      </c>
      <c r="J917" s="4">
        <v>32</v>
      </c>
      <c r="K917" s="4" t="str" cm="1">
        <f t="array" ref="K917">_xlfn.IFS(J917&lt;30, "Young Adult", J917&lt;50, "Adult", J917&gt;=50, "Senior")</f>
        <v>Adult</v>
      </c>
      <c r="L917" s="4" t="s">
        <v>24</v>
      </c>
      <c r="M917" s="4">
        <v>1</v>
      </c>
      <c r="N917" s="5">
        <v>50</v>
      </c>
      <c r="O917">
        <f>M917*N917</f>
        <v>50</v>
      </c>
      <c r="P917" s="14">
        <f>O917*$S$3</f>
        <v>0.75</v>
      </c>
    </row>
    <row r="918" spans="1:16">
      <c r="A918" s="2">
        <v>917</v>
      </c>
      <c r="B918" s="4">
        <f>YEAR(G918)</f>
        <v>2023</v>
      </c>
      <c r="C918" s="4">
        <f>MONTH(G918)</f>
        <v>3</v>
      </c>
      <c r="D918" s="4">
        <f>DAY(G918)</f>
        <v>6</v>
      </c>
      <c r="E918" s="4" t="str">
        <f>TEXT(G918, "mmmm")</f>
        <v>March</v>
      </c>
      <c r="F918" s="4" t="str">
        <f>TEXT(G918, "dddd")</f>
        <v>Monday</v>
      </c>
      <c r="G918" s="3">
        <v>44991</v>
      </c>
      <c r="H918" s="4" t="s">
        <v>944</v>
      </c>
      <c r="I918" s="4" t="s">
        <v>20</v>
      </c>
      <c r="J918" s="4">
        <v>57</v>
      </c>
      <c r="K918" s="4" t="str" cm="1">
        <f t="array" ref="K918">_xlfn.IFS(J918&lt;30, "Young Adult", J918&lt;50, "Adult", J918&gt;=50, "Senior")</f>
        <v>Senior</v>
      </c>
      <c r="L918" s="4" t="s">
        <v>24</v>
      </c>
      <c r="M918" s="4">
        <v>4</v>
      </c>
      <c r="N918" s="5">
        <v>50</v>
      </c>
      <c r="O918">
        <f>M918*N918</f>
        <v>200</v>
      </c>
      <c r="P918" s="14">
        <f>O918*$S$3</f>
        <v>3</v>
      </c>
    </row>
    <row r="919" spans="1:16">
      <c r="A919" s="2">
        <v>918</v>
      </c>
      <c r="B919" s="4">
        <f>YEAR(G919)</f>
        <v>2023</v>
      </c>
      <c r="C919" s="4">
        <f>MONTH(G919)</f>
        <v>11</v>
      </c>
      <c r="D919" s="4">
        <f>DAY(G919)</f>
        <v>23</v>
      </c>
      <c r="E919" s="4" t="str">
        <f>TEXT(G919, "mmmm")</f>
        <v>November</v>
      </c>
      <c r="F919" s="4" t="str">
        <f>TEXT(G919, "dddd")</f>
        <v>Thursday</v>
      </c>
      <c r="G919" s="3">
        <v>45253</v>
      </c>
      <c r="H919" s="4" t="s">
        <v>945</v>
      </c>
      <c r="I919" s="4" t="s">
        <v>20</v>
      </c>
      <c r="J919" s="4">
        <v>42</v>
      </c>
      <c r="K919" s="4" t="str" cm="1">
        <f t="array" ref="K919">_xlfn.IFS(J919&lt;30, "Young Adult", J919&lt;50, "Adult", J919&gt;=50, "Senior")</f>
        <v>Adult</v>
      </c>
      <c r="L919" s="4" t="s">
        <v>24</v>
      </c>
      <c r="M919" s="4">
        <v>3</v>
      </c>
      <c r="N919" s="5">
        <v>30</v>
      </c>
      <c r="O919">
        <f>M919*N919</f>
        <v>90</v>
      </c>
      <c r="P919" s="14">
        <f>O919*$S$3</f>
        <v>1.3499999999999999</v>
      </c>
    </row>
    <row r="920" spans="1:16">
      <c r="A920" s="2">
        <v>919</v>
      </c>
      <c r="B920" s="4">
        <f>YEAR(G920)</f>
        <v>2023</v>
      </c>
      <c r="C920" s="4">
        <f>MONTH(G920)</f>
        <v>9</v>
      </c>
      <c r="D920" s="4">
        <f>DAY(G920)</f>
        <v>9</v>
      </c>
      <c r="E920" s="4" t="str">
        <f>TEXT(G920, "mmmm")</f>
        <v>September</v>
      </c>
      <c r="F920" s="4" t="str">
        <f>TEXT(G920, "dddd")</f>
        <v>Saturday</v>
      </c>
      <c r="G920" s="3">
        <v>45178</v>
      </c>
      <c r="H920" s="4" t="s">
        <v>946</v>
      </c>
      <c r="I920" s="4" t="s">
        <v>20</v>
      </c>
      <c r="J920" s="4">
        <v>22</v>
      </c>
      <c r="K920" s="4" t="str" cm="1">
        <f t="array" ref="K920">_xlfn.IFS(J920&lt;30, "Young Adult", J920&lt;50, "Adult", J920&gt;=50, "Senior")</f>
        <v>Young Adult</v>
      </c>
      <c r="L920" s="4" t="s">
        <v>17</v>
      </c>
      <c r="M920" s="4">
        <v>2</v>
      </c>
      <c r="N920" s="5">
        <v>25</v>
      </c>
      <c r="O920">
        <f>M920*N920</f>
        <v>50</v>
      </c>
      <c r="P920" s="14">
        <f>O920*$S$3</f>
        <v>0.75</v>
      </c>
    </row>
    <row r="921" spans="1:16">
      <c r="A921" s="2">
        <v>920</v>
      </c>
      <c r="B921" s="4">
        <f>YEAR(G921)</f>
        <v>2023</v>
      </c>
      <c r="C921" s="4">
        <f>MONTH(G921)</f>
        <v>2</v>
      </c>
      <c r="D921" s="4">
        <f>DAY(G921)</f>
        <v>22</v>
      </c>
      <c r="E921" s="4" t="str">
        <f>TEXT(G921, "mmmm")</f>
        <v>February</v>
      </c>
      <c r="F921" s="4" t="str">
        <f>TEXT(G921, "dddd")</f>
        <v>Wednesday</v>
      </c>
      <c r="G921" s="3">
        <v>44979</v>
      </c>
      <c r="H921" s="4" t="s">
        <v>947</v>
      </c>
      <c r="I921" s="4" t="s">
        <v>20</v>
      </c>
      <c r="J921" s="4">
        <v>28</v>
      </c>
      <c r="K921" s="4" t="str" cm="1">
        <f t="array" ref="K921">_xlfn.IFS(J921&lt;30, "Young Adult", J921&lt;50, "Adult", J921&gt;=50, "Senior")</f>
        <v>Young Adult</v>
      </c>
      <c r="L921" s="4" t="s">
        <v>17</v>
      </c>
      <c r="M921" s="4">
        <v>3</v>
      </c>
      <c r="N921" s="5">
        <v>25</v>
      </c>
      <c r="O921">
        <f>M921*N921</f>
        <v>75</v>
      </c>
      <c r="P921" s="14">
        <f>O921*$S$3</f>
        <v>1.125</v>
      </c>
    </row>
    <row r="922" spans="1:16">
      <c r="A922" s="2">
        <v>921</v>
      </c>
      <c r="B922" s="4">
        <f>YEAR(G922)</f>
        <v>2023</v>
      </c>
      <c r="C922" s="4">
        <f>MONTH(G922)</f>
        <v>1</v>
      </c>
      <c r="D922" s="4">
        <f>DAY(G922)</f>
        <v>7</v>
      </c>
      <c r="E922" s="4" t="str">
        <f>TEXT(G922, "mmmm")</f>
        <v>January</v>
      </c>
      <c r="F922" s="4" t="str">
        <f>TEXT(G922, "dddd")</f>
        <v>Saturday</v>
      </c>
      <c r="G922" s="3">
        <v>44933</v>
      </c>
      <c r="H922" s="4" t="s">
        <v>948</v>
      </c>
      <c r="I922" s="4" t="s">
        <v>16</v>
      </c>
      <c r="J922" s="4">
        <v>51</v>
      </c>
      <c r="K922" s="4" t="str" cm="1">
        <f t="array" ref="K922">_xlfn.IFS(J922&lt;30, "Young Adult", J922&lt;50, "Adult", J922&gt;=50, "Senior")</f>
        <v>Senior</v>
      </c>
      <c r="L922" s="4" t="s">
        <v>24</v>
      </c>
      <c r="M922" s="4">
        <v>3</v>
      </c>
      <c r="N922" s="5">
        <v>25</v>
      </c>
      <c r="O922">
        <f>M922*N922</f>
        <v>75</v>
      </c>
      <c r="P922" s="14">
        <f>O922*$S$3</f>
        <v>1.125</v>
      </c>
    </row>
    <row r="923" spans="1:16">
      <c r="A923" s="2">
        <v>922</v>
      </c>
      <c r="B923" s="4">
        <f>YEAR(G923)</f>
        <v>2023</v>
      </c>
      <c r="C923" s="4">
        <f>MONTH(G923)</f>
        <v>10</v>
      </c>
      <c r="D923" s="4">
        <f>DAY(G923)</f>
        <v>21</v>
      </c>
      <c r="E923" s="4" t="str">
        <f>TEXT(G923, "mmmm")</f>
        <v>October</v>
      </c>
      <c r="F923" s="4" t="str">
        <f>TEXT(G923, "dddd")</f>
        <v>Saturday</v>
      </c>
      <c r="G923" s="3">
        <v>45220</v>
      </c>
      <c r="H923" s="4" t="s">
        <v>949</v>
      </c>
      <c r="I923" s="4" t="s">
        <v>16</v>
      </c>
      <c r="J923" s="4">
        <v>41</v>
      </c>
      <c r="K923" s="4" t="str" cm="1">
        <f t="array" ref="K923">_xlfn.IFS(J923&lt;30, "Young Adult", J923&lt;50, "Adult", J923&gt;=50, "Senior")</f>
        <v>Adult</v>
      </c>
      <c r="L923" s="4" t="s">
        <v>24</v>
      </c>
      <c r="M923" s="4">
        <v>1</v>
      </c>
      <c r="N923" s="5">
        <v>50</v>
      </c>
      <c r="O923">
        <f>M923*N923</f>
        <v>50</v>
      </c>
      <c r="P923" s="14">
        <f>O923*$S$3</f>
        <v>0.75</v>
      </c>
    </row>
    <row r="924" spans="1:16">
      <c r="A924" s="2">
        <v>923</v>
      </c>
      <c r="B924" s="4">
        <f>YEAR(G924)</f>
        <v>2023</v>
      </c>
      <c r="C924" s="4">
        <f>MONTH(G924)</f>
        <v>5</v>
      </c>
      <c r="D924" s="4">
        <f>DAY(G924)</f>
        <v>26</v>
      </c>
      <c r="E924" s="4" t="str">
        <f>TEXT(G924, "mmmm")</f>
        <v>May</v>
      </c>
      <c r="F924" s="4" t="str">
        <f>TEXT(G924, "dddd")</f>
        <v>Friday</v>
      </c>
      <c r="G924" s="3">
        <v>45072</v>
      </c>
      <c r="H924" s="4" t="s">
        <v>950</v>
      </c>
      <c r="I924" s="4" t="s">
        <v>16</v>
      </c>
      <c r="J924" s="4">
        <v>32</v>
      </c>
      <c r="K924" s="4" t="str" cm="1">
        <f t="array" ref="K924">_xlfn.IFS(J924&lt;30, "Young Adult", J924&lt;50, "Adult", J924&gt;=50, "Senior")</f>
        <v>Adult</v>
      </c>
      <c r="L924" s="4" t="s">
        <v>17</v>
      </c>
      <c r="M924" s="4">
        <v>3</v>
      </c>
      <c r="N924" s="5">
        <v>300</v>
      </c>
      <c r="O924">
        <f>M924*N924</f>
        <v>900</v>
      </c>
      <c r="P924" s="14">
        <f>O924*$S$3</f>
        <v>13.5</v>
      </c>
    </row>
    <row r="925" spans="1:16">
      <c r="A925" s="2">
        <v>924</v>
      </c>
      <c r="B925" s="4">
        <f>YEAR(G925)</f>
        <v>2023</v>
      </c>
      <c r="C925" s="4">
        <f>MONTH(G925)</f>
        <v>8</v>
      </c>
      <c r="D925" s="4">
        <f>DAY(G925)</f>
        <v>29</v>
      </c>
      <c r="E925" s="4" t="str">
        <f>TEXT(G925, "mmmm")</f>
        <v>August</v>
      </c>
      <c r="F925" s="4" t="str">
        <f>TEXT(G925, "dddd")</f>
        <v>Tuesday</v>
      </c>
      <c r="G925" s="3">
        <v>45167</v>
      </c>
      <c r="H925" s="4" t="s">
        <v>951</v>
      </c>
      <c r="I925" s="4" t="s">
        <v>16</v>
      </c>
      <c r="J925" s="4">
        <v>55</v>
      </c>
      <c r="K925" s="4" t="str" cm="1">
        <f t="array" ref="K925">_xlfn.IFS(J925&lt;30, "Young Adult", J925&lt;50, "Adult", J925&gt;=50, "Senior")</f>
        <v>Senior</v>
      </c>
      <c r="L925" s="4" t="s">
        <v>17</v>
      </c>
      <c r="M925" s="4">
        <v>2</v>
      </c>
      <c r="N925" s="5">
        <v>50</v>
      </c>
      <c r="O925">
        <f>M925*N925</f>
        <v>100</v>
      </c>
      <c r="P925" s="14">
        <f>O925*$S$3</f>
        <v>1.5</v>
      </c>
    </row>
    <row r="926" spans="1:16">
      <c r="A926" s="2">
        <v>925</v>
      </c>
      <c r="B926" s="4">
        <f>YEAR(G926)</f>
        <v>2023</v>
      </c>
      <c r="C926" s="4">
        <f>MONTH(G926)</f>
        <v>9</v>
      </c>
      <c r="D926" s="4">
        <f>DAY(G926)</f>
        <v>3</v>
      </c>
      <c r="E926" s="4" t="str">
        <f>TEXT(G926, "mmmm")</f>
        <v>September</v>
      </c>
      <c r="F926" s="4" t="str">
        <f>TEXT(G926, "dddd")</f>
        <v>Sunday</v>
      </c>
      <c r="G926" s="3">
        <v>45172</v>
      </c>
      <c r="H926" s="4" t="s">
        <v>952</v>
      </c>
      <c r="I926" s="4" t="s">
        <v>16</v>
      </c>
      <c r="J926" s="4">
        <v>25</v>
      </c>
      <c r="K926" s="4" t="str" cm="1">
        <f t="array" ref="K926">_xlfn.IFS(J926&lt;30, "Young Adult", J926&lt;50, "Adult", J926&gt;=50, "Senior")</f>
        <v>Young Adult</v>
      </c>
      <c r="L926" s="4" t="s">
        <v>24</v>
      </c>
      <c r="M926" s="4">
        <v>1</v>
      </c>
      <c r="N926" s="5">
        <v>300</v>
      </c>
      <c r="O926">
        <f>M926*N926</f>
        <v>300</v>
      </c>
      <c r="P926" s="14">
        <f>O926*$S$3</f>
        <v>4.5</v>
      </c>
    </row>
    <row r="927" spans="1:16">
      <c r="A927" s="2">
        <v>926</v>
      </c>
      <c r="B927" s="4">
        <f>YEAR(G927)</f>
        <v>2023</v>
      </c>
      <c r="C927" s="4">
        <f>MONTH(G927)</f>
        <v>8</v>
      </c>
      <c r="D927" s="4">
        <f>DAY(G927)</f>
        <v>14</v>
      </c>
      <c r="E927" s="4" t="str">
        <f>TEXT(G927, "mmmm")</f>
        <v>August</v>
      </c>
      <c r="F927" s="4" t="str">
        <f>TEXT(G927, "dddd")</f>
        <v>Monday</v>
      </c>
      <c r="G927" s="3">
        <v>45152</v>
      </c>
      <c r="H927" s="4" t="s">
        <v>953</v>
      </c>
      <c r="I927" s="4" t="s">
        <v>16</v>
      </c>
      <c r="J927" s="4">
        <v>22</v>
      </c>
      <c r="K927" s="4" t="str" cm="1">
        <f t="array" ref="K927">_xlfn.IFS(J927&lt;30, "Young Adult", J927&lt;50, "Adult", J927&gt;=50, "Senior")</f>
        <v>Young Adult</v>
      </c>
      <c r="L927" s="4" t="s">
        <v>24</v>
      </c>
      <c r="M927" s="4">
        <v>1</v>
      </c>
      <c r="N927" s="5">
        <v>30</v>
      </c>
      <c r="O927">
        <f>M927*N927</f>
        <v>30</v>
      </c>
      <c r="P927" s="14">
        <f>O927*$S$3</f>
        <v>0.44999999999999996</v>
      </c>
    </row>
    <row r="928" spans="1:16">
      <c r="A928" s="2">
        <v>927</v>
      </c>
      <c r="B928" s="4">
        <f>YEAR(G928)</f>
        <v>2023</v>
      </c>
      <c r="C928" s="4">
        <f>MONTH(G928)</f>
        <v>6</v>
      </c>
      <c r="D928" s="4">
        <f>DAY(G928)</f>
        <v>24</v>
      </c>
      <c r="E928" s="4" t="str">
        <f>TEXT(G928, "mmmm")</f>
        <v>June</v>
      </c>
      <c r="F928" s="4" t="str">
        <f>TEXT(G928, "dddd")</f>
        <v>Saturday</v>
      </c>
      <c r="G928" s="3">
        <v>45101</v>
      </c>
      <c r="H928" s="4" t="s">
        <v>954</v>
      </c>
      <c r="I928" s="4" t="s">
        <v>16</v>
      </c>
      <c r="J928" s="4">
        <v>43</v>
      </c>
      <c r="K928" s="4" t="str" cm="1">
        <f t="array" ref="K928">_xlfn.IFS(J928&lt;30, "Young Adult", J928&lt;50, "Adult", J928&gt;=50, "Senior")</f>
        <v>Adult</v>
      </c>
      <c r="L928" s="4" t="s">
        <v>24</v>
      </c>
      <c r="M928" s="4">
        <v>4</v>
      </c>
      <c r="N928" s="5">
        <v>500</v>
      </c>
      <c r="O928">
        <f>M928*N928</f>
        <v>2000</v>
      </c>
      <c r="P928" s="14">
        <f>O928*$S$3</f>
        <v>30</v>
      </c>
    </row>
    <row r="929" spans="1:16">
      <c r="A929" s="2">
        <v>928</v>
      </c>
      <c r="B929" s="4">
        <f>YEAR(G929)</f>
        <v>2023</v>
      </c>
      <c r="C929" s="4">
        <f>MONTH(G929)</f>
        <v>4</v>
      </c>
      <c r="D929" s="4">
        <f>DAY(G929)</f>
        <v>5</v>
      </c>
      <c r="E929" s="4" t="str">
        <f>TEXT(G929, "mmmm")</f>
        <v>April</v>
      </c>
      <c r="F929" s="4" t="str">
        <f>TEXT(G929, "dddd")</f>
        <v>Wednesday</v>
      </c>
      <c r="G929" s="3">
        <v>45021</v>
      </c>
      <c r="H929" s="4" t="s">
        <v>955</v>
      </c>
      <c r="I929" s="4" t="s">
        <v>20</v>
      </c>
      <c r="J929" s="4">
        <v>35</v>
      </c>
      <c r="K929" s="4" t="str" cm="1">
        <f t="array" ref="K929">_xlfn.IFS(J929&lt;30, "Young Adult", J929&lt;50, "Adult", J929&gt;=50, "Senior")</f>
        <v>Adult</v>
      </c>
      <c r="L929" s="4" t="s">
        <v>21</v>
      </c>
      <c r="M929" s="4">
        <v>4</v>
      </c>
      <c r="N929" s="5">
        <v>300</v>
      </c>
      <c r="O929">
        <f>M929*N929</f>
        <v>1200</v>
      </c>
      <c r="P929" s="14">
        <f>O929*$S$3</f>
        <v>18</v>
      </c>
    </row>
    <row r="930" spans="1:16">
      <c r="A930" s="2">
        <v>929</v>
      </c>
      <c r="B930" s="4">
        <f>YEAR(G930)</f>
        <v>2023</v>
      </c>
      <c r="C930" s="4">
        <f>MONTH(G930)</f>
        <v>1</v>
      </c>
      <c r="D930" s="4">
        <f>DAY(G930)</f>
        <v>27</v>
      </c>
      <c r="E930" s="4" t="str">
        <f>TEXT(G930, "mmmm")</f>
        <v>January</v>
      </c>
      <c r="F930" s="4" t="str">
        <f>TEXT(G930, "dddd")</f>
        <v>Friday</v>
      </c>
      <c r="G930" s="3">
        <v>44953</v>
      </c>
      <c r="H930" s="4" t="s">
        <v>956</v>
      </c>
      <c r="I930" s="4" t="s">
        <v>20</v>
      </c>
      <c r="J930" s="4">
        <v>23</v>
      </c>
      <c r="K930" s="4" t="str" cm="1">
        <f t="array" ref="K930">_xlfn.IFS(J930&lt;30, "Young Adult", J930&lt;50, "Adult", J930&gt;=50, "Senior")</f>
        <v>Young Adult</v>
      </c>
      <c r="L930" s="4" t="s">
        <v>17</v>
      </c>
      <c r="M930" s="4">
        <v>3</v>
      </c>
      <c r="N930" s="5">
        <v>25</v>
      </c>
      <c r="O930">
        <f>M930*N930</f>
        <v>75</v>
      </c>
      <c r="P930" s="14">
        <f>O930*$S$3</f>
        <v>1.125</v>
      </c>
    </row>
    <row r="931" spans="1:16">
      <c r="A931" s="2">
        <v>930</v>
      </c>
      <c r="B931" s="4">
        <f>YEAR(G931)</f>
        <v>2023</v>
      </c>
      <c r="C931" s="4">
        <f>MONTH(G931)</f>
        <v>5</v>
      </c>
      <c r="D931" s="4">
        <f>DAY(G931)</f>
        <v>10</v>
      </c>
      <c r="E931" s="4" t="str">
        <f>TEXT(G931, "mmmm")</f>
        <v>May</v>
      </c>
      <c r="F931" s="4" t="str">
        <f>TEXT(G931, "dddd")</f>
        <v>Wednesday</v>
      </c>
      <c r="G931" s="3">
        <v>45056</v>
      </c>
      <c r="H931" s="4" t="s">
        <v>957</v>
      </c>
      <c r="I931" s="4" t="s">
        <v>16</v>
      </c>
      <c r="J931" s="4">
        <v>54</v>
      </c>
      <c r="K931" s="4" t="str" cm="1">
        <f t="array" ref="K931">_xlfn.IFS(J931&lt;30, "Young Adult", J931&lt;50, "Adult", J931&gt;=50, "Senior")</f>
        <v>Senior</v>
      </c>
      <c r="L931" s="4" t="s">
        <v>21</v>
      </c>
      <c r="M931" s="4">
        <v>4</v>
      </c>
      <c r="N931" s="5">
        <v>50</v>
      </c>
      <c r="O931">
        <f>M931*N931</f>
        <v>200</v>
      </c>
      <c r="P931" s="14">
        <f>O931*$S$3</f>
        <v>3</v>
      </c>
    </row>
    <row r="932" spans="1:16">
      <c r="A932" s="2">
        <v>931</v>
      </c>
      <c r="B932" s="4">
        <f>YEAR(G932)</f>
        <v>2023</v>
      </c>
      <c r="C932" s="4">
        <f>MONTH(G932)</f>
        <v>9</v>
      </c>
      <c r="D932" s="4">
        <f>DAY(G932)</f>
        <v>2</v>
      </c>
      <c r="E932" s="4" t="str">
        <f>TEXT(G932, "mmmm")</f>
        <v>September</v>
      </c>
      <c r="F932" s="4" t="str">
        <f>TEXT(G932, "dddd")</f>
        <v>Saturday</v>
      </c>
      <c r="G932" s="3">
        <v>45171</v>
      </c>
      <c r="H932" s="4" t="s">
        <v>958</v>
      </c>
      <c r="I932" s="4" t="s">
        <v>16</v>
      </c>
      <c r="J932" s="4">
        <v>30</v>
      </c>
      <c r="K932" s="4" t="str" cm="1">
        <f t="array" ref="K932">_xlfn.IFS(J932&lt;30, "Young Adult", J932&lt;50, "Adult", J932&gt;=50, "Senior")</f>
        <v>Adult</v>
      </c>
      <c r="L932" s="4" t="s">
        <v>17</v>
      </c>
      <c r="M932" s="4">
        <v>4</v>
      </c>
      <c r="N932" s="5">
        <v>30</v>
      </c>
      <c r="O932">
        <f>M932*N932</f>
        <v>120</v>
      </c>
      <c r="P932" s="14">
        <f>O932*$S$3</f>
        <v>1.7999999999999998</v>
      </c>
    </row>
    <row r="933" spans="1:16">
      <c r="A933" s="2">
        <v>932</v>
      </c>
      <c r="B933" s="4">
        <f>YEAR(G933)</f>
        <v>2023</v>
      </c>
      <c r="C933" s="4">
        <f>MONTH(G933)</f>
        <v>2</v>
      </c>
      <c r="D933" s="4">
        <f>DAY(G933)</f>
        <v>28</v>
      </c>
      <c r="E933" s="4" t="str">
        <f>TEXT(G933, "mmmm")</f>
        <v>February</v>
      </c>
      <c r="F933" s="4" t="str">
        <f>TEXT(G933, "dddd")</f>
        <v>Tuesday</v>
      </c>
      <c r="G933" s="3">
        <v>44985</v>
      </c>
      <c r="H933" s="4" t="s">
        <v>959</v>
      </c>
      <c r="I933" s="4" t="s">
        <v>20</v>
      </c>
      <c r="J933" s="4">
        <v>45</v>
      </c>
      <c r="K933" s="4" t="str" cm="1">
        <f t="array" ref="K933">_xlfn.IFS(J933&lt;30, "Young Adult", J933&lt;50, "Adult", J933&gt;=50, "Senior")</f>
        <v>Adult</v>
      </c>
      <c r="L933" s="4" t="s">
        <v>17</v>
      </c>
      <c r="M933" s="4">
        <v>4</v>
      </c>
      <c r="N933" s="5">
        <v>25</v>
      </c>
      <c r="O933">
        <f>M933*N933</f>
        <v>100</v>
      </c>
      <c r="P933" s="14">
        <f>O933*$S$3</f>
        <v>1.5</v>
      </c>
    </row>
    <row r="934" spans="1:16">
      <c r="A934" s="2">
        <v>933</v>
      </c>
      <c r="B934" s="4">
        <f>YEAR(G934)</f>
        <v>2023</v>
      </c>
      <c r="C934" s="4">
        <f>MONTH(G934)</f>
        <v>2</v>
      </c>
      <c r="D934" s="4">
        <f>DAY(G934)</f>
        <v>3</v>
      </c>
      <c r="E934" s="4" t="str">
        <f>TEXT(G934, "mmmm")</f>
        <v>February</v>
      </c>
      <c r="F934" s="4" t="str">
        <f>TEXT(G934, "dddd")</f>
        <v>Friday</v>
      </c>
      <c r="G934" s="3">
        <v>44960</v>
      </c>
      <c r="H934" s="4" t="s">
        <v>960</v>
      </c>
      <c r="I934" s="4" t="s">
        <v>16</v>
      </c>
      <c r="J934" s="4">
        <v>22</v>
      </c>
      <c r="K934" s="4" t="str" cm="1">
        <f t="array" ref="K934">_xlfn.IFS(J934&lt;30, "Young Adult", J934&lt;50, "Adult", J934&gt;=50, "Senior")</f>
        <v>Young Adult</v>
      </c>
      <c r="L934" s="4" t="s">
        <v>17</v>
      </c>
      <c r="M934" s="4">
        <v>1</v>
      </c>
      <c r="N934" s="5">
        <v>30</v>
      </c>
      <c r="O934">
        <f>M934*N934</f>
        <v>30</v>
      </c>
      <c r="P934" s="14">
        <f>O934*$S$3</f>
        <v>0.44999999999999996</v>
      </c>
    </row>
    <row r="935" spans="1:16">
      <c r="A935" s="2">
        <v>934</v>
      </c>
      <c r="B935" s="4">
        <f>YEAR(G935)</f>
        <v>2023</v>
      </c>
      <c r="C935" s="4">
        <f>MONTH(G935)</f>
        <v>7</v>
      </c>
      <c r="D935" s="4">
        <f>DAY(G935)</f>
        <v>25</v>
      </c>
      <c r="E935" s="4" t="str">
        <f>TEXT(G935, "mmmm")</f>
        <v>July</v>
      </c>
      <c r="F935" s="4" t="str">
        <f>TEXT(G935, "dddd")</f>
        <v>Tuesday</v>
      </c>
      <c r="G935" s="3">
        <v>45132</v>
      </c>
      <c r="H935" s="4" t="s">
        <v>961</v>
      </c>
      <c r="I935" s="4" t="s">
        <v>16</v>
      </c>
      <c r="J935" s="4">
        <v>30</v>
      </c>
      <c r="K935" s="4" t="str" cm="1">
        <f t="array" ref="K935">_xlfn.IFS(J935&lt;30, "Young Adult", J935&lt;50, "Adult", J935&gt;=50, "Senior")</f>
        <v>Adult</v>
      </c>
      <c r="L935" s="4" t="s">
        <v>17</v>
      </c>
      <c r="M935" s="4">
        <v>1</v>
      </c>
      <c r="N935" s="5">
        <v>500</v>
      </c>
      <c r="O935">
        <f>M935*N935</f>
        <v>500</v>
      </c>
      <c r="P935" s="14">
        <f>O935*$S$3</f>
        <v>7.5</v>
      </c>
    </row>
    <row r="936" spans="1:16">
      <c r="A936" s="2">
        <v>935</v>
      </c>
      <c r="B936" s="4">
        <f>YEAR(G936)</f>
        <v>2023</v>
      </c>
      <c r="C936" s="4">
        <f>MONTH(G936)</f>
        <v>9</v>
      </c>
      <c r="D936" s="4">
        <f>DAY(G936)</f>
        <v>9</v>
      </c>
      <c r="E936" s="4" t="str">
        <f>TEXT(G936, "mmmm")</f>
        <v>September</v>
      </c>
      <c r="F936" s="4" t="str">
        <f>TEXT(G936, "dddd")</f>
        <v>Saturday</v>
      </c>
      <c r="G936" s="3">
        <v>45178</v>
      </c>
      <c r="H936" s="4" t="s">
        <v>962</v>
      </c>
      <c r="I936" s="4" t="s">
        <v>20</v>
      </c>
      <c r="J936" s="4">
        <v>34</v>
      </c>
      <c r="K936" s="4" t="str" cm="1">
        <f t="array" ref="K936">_xlfn.IFS(J936&lt;30, "Young Adult", J936&lt;50, "Adult", J936&gt;=50, "Senior")</f>
        <v>Adult</v>
      </c>
      <c r="L936" s="4" t="s">
        <v>17</v>
      </c>
      <c r="M936" s="4">
        <v>1</v>
      </c>
      <c r="N936" s="5">
        <v>50</v>
      </c>
      <c r="O936">
        <f>M936*N936</f>
        <v>50</v>
      </c>
      <c r="P936" s="14">
        <f>O936*$S$3</f>
        <v>0.75</v>
      </c>
    </row>
    <row r="937" spans="1:16">
      <c r="A937" s="2">
        <v>936</v>
      </c>
      <c r="B937" s="4">
        <f>YEAR(G937)</f>
        <v>2023</v>
      </c>
      <c r="C937" s="4">
        <f>MONTH(G937)</f>
        <v>2</v>
      </c>
      <c r="D937" s="4">
        <f>DAY(G937)</f>
        <v>7</v>
      </c>
      <c r="E937" s="4" t="str">
        <f>TEXT(G937, "mmmm")</f>
        <v>February</v>
      </c>
      <c r="F937" s="4" t="str">
        <f>TEXT(G937, "dddd")</f>
        <v>Tuesday</v>
      </c>
      <c r="G937" s="3">
        <v>44964</v>
      </c>
      <c r="H937" s="4" t="s">
        <v>963</v>
      </c>
      <c r="I937" s="4" t="s">
        <v>16</v>
      </c>
      <c r="J937" s="4">
        <v>57</v>
      </c>
      <c r="K937" s="4" t="str" cm="1">
        <f t="array" ref="K937">_xlfn.IFS(J937&lt;30, "Young Adult", J937&lt;50, "Adult", J937&gt;=50, "Senior")</f>
        <v>Senior</v>
      </c>
      <c r="L937" s="4" t="s">
        <v>17</v>
      </c>
      <c r="M937" s="4">
        <v>4</v>
      </c>
      <c r="N937" s="5">
        <v>50</v>
      </c>
      <c r="O937">
        <f>M937*N937</f>
        <v>200</v>
      </c>
      <c r="P937" s="14">
        <f>O937*$S$3</f>
        <v>3</v>
      </c>
    </row>
    <row r="938" spans="1:16">
      <c r="A938" s="2">
        <v>937</v>
      </c>
      <c r="B938" s="4">
        <f>YEAR(G938)</f>
        <v>2023</v>
      </c>
      <c r="C938" s="4">
        <f>MONTH(G938)</f>
        <v>10</v>
      </c>
      <c r="D938" s="4">
        <f>DAY(G938)</f>
        <v>23</v>
      </c>
      <c r="E938" s="4" t="str">
        <f>TEXT(G938, "mmmm")</f>
        <v>October</v>
      </c>
      <c r="F938" s="4" t="str">
        <f>TEXT(G938, "dddd")</f>
        <v>Monday</v>
      </c>
      <c r="G938" s="3">
        <v>45222</v>
      </c>
      <c r="H938" s="4" t="s">
        <v>964</v>
      </c>
      <c r="I938" s="4" t="s">
        <v>20</v>
      </c>
      <c r="J938" s="4">
        <v>62</v>
      </c>
      <c r="K938" s="4" t="str" cm="1">
        <f t="array" ref="K938">_xlfn.IFS(J938&lt;30, "Young Adult", J938&lt;50, "Adult", J938&gt;=50, "Senior")</f>
        <v>Senior</v>
      </c>
      <c r="L938" s="4" t="s">
        <v>17</v>
      </c>
      <c r="M938" s="4">
        <v>1</v>
      </c>
      <c r="N938" s="5">
        <v>500</v>
      </c>
      <c r="O938">
        <f>M938*N938</f>
        <v>500</v>
      </c>
      <c r="P938" s="14">
        <f>O938*$S$3</f>
        <v>7.5</v>
      </c>
    </row>
    <row r="939" spans="1:16">
      <c r="A939" s="2">
        <v>938</v>
      </c>
      <c r="B939" s="4">
        <f>YEAR(G939)</f>
        <v>2023</v>
      </c>
      <c r="C939" s="4">
        <f>MONTH(G939)</f>
        <v>11</v>
      </c>
      <c r="D939" s="4">
        <f>DAY(G939)</f>
        <v>19</v>
      </c>
      <c r="E939" s="4" t="str">
        <f>TEXT(G939, "mmmm")</f>
        <v>November</v>
      </c>
      <c r="F939" s="4" t="str">
        <f>TEXT(G939, "dddd")</f>
        <v>Sunday</v>
      </c>
      <c r="G939" s="3">
        <v>45249</v>
      </c>
      <c r="H939" s="4" t="s">
        <v>965</v>
      </c>
      <c r="I939" s="4" t="s">
        <v>16</v>
      </c>
      <c r="J939" s="4">
        <v>49</v>
      </c>
      <c r="K939" s="4" t="str" cm="1">
        <f t="array" ref="K939">_xlfn.IFS(J939&lt;30, "Young Adult", J939&lt;50, "Adult", J939&gt;=50, "Senior")</f>
        <v>Adult</v>
      </c>
      <c r="L939" s="4" t="s">
        <v>21</v>
      </c>
      <c r="M939" s="4">
        <v>4</v>
      </c>
      <c r="N939" s="5">
        <v>50</v>
      </c>
      <c r="O939">
        <f>M939*N939</f>
        <v>200</v>
      </c>
      <c r="P939" s="14">
        <f>O939*$S$3</f>
        <v>3</v>
      </c>
    </row>
    <row r="940" spans="1:16">
      <c r="A940" s="2">
        <v>939</v>
      </c>
      <c r="B940" s="4">
        <f>YEAR(G940)</f>
        <v>2023</v>
      </c>
      <c r="C940" s="4">
        <f>MONTH(G940)</f>
        <v>12</v>
      </c>
      <c r="D940" s="4">
        <f>DAY(G940)</f>
        <v>18</v>
      </c>
      <c r="E940" s="4" t="str">
        <f>TEXT(G940, "mmmm")</f>
        <v>December</v>
      </c>
      <c r="F940" s="4" t="str">
        <f>TEXT(G940, "dddd")</f>
        <v>Monday</v>
      </c>
      <c r="G940" s="3">
        <v>45278</v>
      </c>
      <c r="H940" s="4" t="s">
        <v>966</v>
      </c>
      <c r="I940" s="4" t="s">
        <v>20</v>
      </c>
      <c r="J940" s="4">
        <v>46</v>
      </c>
      <c r="K940" s="4" t="str" cm="1">
        <f t="array" ref="K940">_xlfn.IFS(J940&lt;30, "Young Adult", J940&lt;50, "Adult", J940&gt;=50, "Senior")</f>
        <v>Adult</v>
      </c>
      <c r="L940" s="4" t="s">
        <v>24</v>
      </c>
      <c r="M940" s="4">
        <v>1</v>
      </c>
      <c r="N940" s="5">
        <v>300</v>
      </c>
      <c r="O940">
        <f>M940*N940</f>
        <v>300</v>
      </c>
      <c r="P940" s="14">
        <f>O940*$S$3</f>
        <v>4.5</v>
      </c>
    </row>
    <row r="941" spans="1:16">
      <c r="A941" s="2">
        <v>940</v>
      </c>
      <c r="B941" s="4">
        <f>YEAR(G941)</f>
        <v>2023</v>
      </c>
      <c r="C941" s="4">
        <f>MONTH(G941)</f>
        <v>1</v>
      </c>
      <c r="D941" s="4">
        <f>DAY(G941)</f>
        <v>28</v>
      </c>
      <c r="E941" s="4" t="str">
        <f>TEXT(G941, "mmmm")</f>
        <v>January</v>
      </c>
      <c r="F941" s="4" t="str">
        <f>TEXT(G941, "dddd")</f>
        <v>Saturday</v>
      </c>
      <c r="G941" s="3">
        <v>44954</v>
      </c>
      <c r="H941" s="4" t="s">
        <v>967</v>
      </c>
      <c r="I941" s="4" t="s">
        <v>20</v>
      </c>
      <c r="J941" s="4">
        <v>20</v>
      </c>
      <c r="K941" s="4" t="str" cm="1">
        <f t="array" ref="K941">_xlfn.IFS(J941&lt;30, "Young Adult", J941&lt;50, "Adult", J941&gt;=50, "Senior")</f>
        <v>Young Adult</v>
      </c>
      <c r="L941" s="4" t="s">
        <v>24</v>
      </c>
      <c r="M941" s="4">
        <v>1</v>
      </c>
      <c r="N941" s="5">
        <v>30</v>
      </c>
      <c r="O941">
        <f>M941*N941</f>
        <v>30</v>
      </c>
      <c r="P941" s="14">
        <f>O941*$S$3</f>
        <v>0.44999999999999996</v>
      </c>
    </row>
    <row r="942" spans="1:16">
      <c r="A942" s="2">
        <v>941</v>
      </c>
      <c r="B942" s="4">
        <f>YEAR(G942)</f>
        <v>2023</v>
      </c>
      <c r="C942" s="4">
        <f>MONTH(G942)</f>
        <v>3</v>
      </c>
      <c r="D942" s="4">
        <f>DAY(G942)</f>
        <v>19</v>
      </c>
      <c r="E942" s="4" t="str">
        <f>TEXT(G942, "mmmm")</f>
        <v>March</v>
      </c>
      <c r="F942" s="4" t="str">
        <f>TEXT(G942, "dddd")</f>
        <v>Sunday</v>
      </c>
      <c r="G942" s="3">
        <v>45004</v>
      </c>
      <c r="H942" s="4" t="s">
        <v>968</v>
      </c>
      <c r="I942" s="4" t="s">
        <v>20</v>
      </c>
      <c r="J942" s="4">
        <v>57</v>
      </c>
      <c r="K942" s="4" t="str" cm="1">
        <f t="array" ref="K942">_xlfn.IFS(J942&lt;30, "Young Adult", J942&lt;50, "Adult", J942&gt;=50, "Senior")</f>
        <v>Senior</v>
      </c>
      <c r="L942" s="4" t="s">
        <v>21</v>
      </c>
      <c r="M942" s="4">
        <v>2</v>
      </c>
      <c r="N942" s="5">
        <v>25</v>
      </c>
      <c r="O942">
        <f>M942*N942</f>
        <v>50</v>
      </c>
      <c r="P942" s="14">
        <f>O942*$S$3</f>
        <v>0.75</v>
      </c>
    </row>
    <row r="943" spans="1:16">
      <c r="A943" s="2">
        <v>942</v>
      </c>
      <c r="B943" s="4">
        <f>YEAR(G943)</f>
        <v>2023</v>
      </c>
      <c r="C943" s="4">
        <f>MONTH(G943)</f>
        <v>3</v>
      </c>
      <c r="D943" s="4">
        <f>DAY(G943)</f>
        <v>18</v>
      </c>
      <c r="E943" s="4" t="str">
        <f>TEXT(G943, "mmmm")</f>
        <v>March</v>
      </c>
      <c r="F943" s="4" t="str">
        <f>TEXT(G943, "dddd")</f>
        <v>Saturday</v>
      </c>
      <c r="G943" s="3">
        <v>45003</v>
      </c>
      <c r="H943" s="4" t="s">
        <v>969</v>
      </c>
      <c r="I943" s="4" t="s">
        <v>16</v>
      </c>
      <c r="J943" s="4">
        <v>51</v>
      </c>
      <c r="K943" s="4" t="str" cm="1">
        <f t="array" ref="K943">_xlfn.IFS(J943&lt;30, "Young Adult", J943&lt;50, "Adult", J943&gt;=50, "Senior")</f>
        <v>Senior</v>
      </c>
      <c r="L943" s="4" t="s">
        <v>21</v>
      </c>
      <c r="M943" s="4">
        <v>3</v>
      </c>
      <c r="N943" s="5">
        <v>500</v>
      </c>
      <c r="O943">
        <f>M943*N943</f>
        <v>1500</v>
      </c>
      <c r="P943" s="14">
        <f>O943*$S$3</f>
        <v>22.5</v>
      </c>
    </row>
    <row r="944" spans="1:16">
      <c r="A944" s="2">
        <v>943</v>
      </c>
      <c r="B944" s="4">
        <f>YEAR(G944)</f>
        <v>2023</v>
      </c>
      <c r="C944" s="4">
        <f>MONTH(G944)</f>
        <v>10</v>
      </c>
      <c r="D944" s="4">
        <f>DAY(G944)</f>
        <v>16</v>
      </c>
      <c r="E944" s="4" t="str">
        <f>TEXT(G944, "mmmm")</f>
        <v>October</v>
      </c>
      <c r="F944" s="4" t="str">
        <f>TEXT(G944, "dddd")</f>
        <v>Monday</v>
      </c>
      <c r="G944" s="3">
        <v>45215</v>
      </c>
      <c r="H944" s="4" t="s">
        <v>970</v>
      </c>
      <c r="I944" s="4" t="s">
        <v>20</v>
      </c>
      <c r="J944" s="4">
        <v>57</v>
      </c>
      <c r="K944" s="4" t="str" cm="1">
        <f t="array" ref="K944">_xlfn.IFS(J944&lt;30, "Young Adult", J944&lt;50, "Adult", J944&gt;=50, "Senior")</f>
        <v>Senior</v>
      </c>
      <c r="L944" s="4" t="s">
        <v>21</v>
      </c>
      <c r="M944" s="4">
        <v>4</v>
      </c>
      <c r="N944" s="5">
        <v>300</v>
      </c>
      <c r="O944">
        <f>M944*N944</f>
        <v>1200</v>
      </c>
      <c r="P944" s="14">
        <f>O944*$S$3</f>
        <v>18</v>
      </c>
    </row>
    <row r="945" spans="1:16">
      <c r="A945" s="2">
        <v>944</v>
      </c>
      <c r="B945" s="4">
        <f>YEAR(G945)</f>
        <v>2023</v>
      </c>
      <c r="C945" s="4">
        <f>MONTH(G945)</f>
        <v>6</v>
      </c>
      <c r="D945" s="4">
        <f>DAY(G945)</f>
        <v>5</v>
      </c>
      <c r="E945" s="4" t="str">
        <f>TEXT(G945, "mmmm")</f>
        <v>June</v>
      </c>
      <c r="F945" s="4" t="str">
        <f>TEXT(G945, "dddd")</f>
        <v>Monday</v>
      </c>
      <c r="G945" s="3">
        <v>45082</v>
      </c>
      <c r="H945" s="4" t="s">
        <v>971</v>
      </c>
      <c r="I945" s="4" t="s">
        <v>16</v>
      </c>
      <c r="J945" s="4">
        <v>44</v>
      </c>
      <c r="K945" s="4" t="str" cm="1">
        <f t="array" ref="K945">_xlfn.IFS(J945&lt;30, "Young Adult", J945&lt;50, "Adult", J945&gt;=50, "Senior")</f>
        <v>Adult</v>
      </c>
      <c r="L945" s="4" t="s">
        <v>21</v>
      </c>
      <c r="M945" s="4">
        <v>2</v>
      </c>
      <c r="N945" s="5">
        <v>25</v>
      </c>
      <c r="O945">
        <f>M945*N945</f>
        <v>50</v>
      </c>
      <c r="P945" s="14">
        <f>O945*$S$3</f>
        <v>0.75</v>
      </c>
    </row>
    <row r="946" spans="1:16">
      <c r="A946" s="2">
        <v>945</v>
      </c>
      <c r="B946" s="4">
        <f>YEAR(G946)</f>
        <v>2023</v>
      </c>
      <c r="C946" s="4">
        <f>MONTH(G946)</f>
        <v>2</v>
      </c>
      <c r="D946" s="4">
        <f>DAY(G946)</f>
        <v>13</v>
      </c>
      <c r="E946" s="4" t="str">
        <f>TEXT(G946, "mmmm")</f>
        <v>February</v>
      </c>
      <c r="F946" s="4" t="str">
        <f>TEXT(G946, "dddd")</f>
        <v>Monday</v>
      </c>
      <c r="G946" s="3">
        <v>44970</v>
      </c>
      <c r="H946" s="4" t="s">
        <v>972</v>
      </c>
      <c r="I946" s="4" t="s">
        <v>16</v>
      </c>
      <c r="J946" s="4">
        <v>30</v>
      </c>
      <c r="K946" s="4" t="str" cm="1">
        <f t="array" ref="K946">_xlfn.IFS(J946&lt;30, "Young Adult", J946&lt;50, "Adult", J946&gt;=50, "Senior")</f>
        <v>Adult</v>
      </c>
      <c r="L946" s="4" t="s">
        <v>17</v>
      </c>
      <c r="M946" s="4">
        <v>1</v>
      </c>
      <c r="N946" s="5">
        <v>25</v>
      </c>
      <c r="O946">
        <f>M946*N946</f>
        <v>25</v>
      </c>
      <c r="P946" s="14">
        <f>O946*$S$3</f>
        <v>0.375</v>
      </c>
    </row>
    <row r="947" spans="1:16">
      <c r="A947" s="2">
        <v>946</v>
      </c>
      <c r="B947" s="4">
        <f>YEAR(G947)</f>
        <v>2023</v>
      </c>
      <c r="C947" s="4">
        <f>MONTH(G947)</f>
        <v>5</v>
      </c>
      <c r="D947" s="4">
        <f>DAY(G947)</f>
        <v>8</v>
      </c>
      <c r="E947" s="4" t="str">
        <f>TEXT(G947, "mmmm")</f>
        <v>May</v>
      </c>
      <c r="F947" s="4" t="str">
        <f>TEXT(G947, "dddd")</f>
        <v>Monday</v>
      </c>
      <c r="G947" s="3">
        <v>45054</v>
      </c>
      <c r="H947" s="4" t="s">
        <v>973</v>
      </c>
      <c r="I947" s="4" t="s">
        <v>16</v>
      </c>
      <c r="J947" s="4">
        <v>62</v>
      </c>
      <c r="K947" s="4" t="str" cm="1">
        <f t="array" ref="K947">_xlfn.IFS(J947&lt;30, "Young Adult", J947&lt;50, "Adult", J947&gt;=50, "Senior")</f>
        <v>Senior</v>
      </c>
      <c r="L947" s="4" t="s">
        <v>24</v>
      </c>
      <c r="M947" s="4">
        <v>4</v>
      </c>
      <c r="N947" s="5">
        <v>500</v>
      </c>
      <c r="O947">
        <f>M947*N947</f>
        <v>2000</v>
      </c>
      <c r="P947" s="14">
        <f>O947*$S$3</f>
        <v>30</v>
      </c>
    </row>
    <row r="948" spans="1:16">
      <c r="A948" s="2">
        <v>947</v>
      </c>
      <c r="B948" s="4">
        <f>YEAR(G948)</f>
        <v>2023</v>
      </c>
      <c r="C948" s="4">
        <f>MONTH(G948)</f>
        <v>3</v>
      </c>
      <c r="D948" s="4">
        <f>DAY(G948)</f>
        <v>2</v>
      </c>
      <c r="E948" s="4" t="str">
        <f>TEXT(G948, "mmmm")</f>
        <v>March</v>
      </c>
      <c r="F948" s="4" t="str">
        <f>TEXT(G948, "dddd")</f>
        <v>Thursday</v>
      </c>
      <c r="G948" s="3">
        <v>44987</v>
      </c>
      <c r="H948" s="4" t="s">
        <v>974</v>
      </c>
      <c r="I948" s="4" t="s">
        <v>16</v>
      </c>
      <c r="J948" s="4">
        <v>50</v>
      </c>
      <c r="K948" s="4" t="str" cm="1">
        <f t="array" ref="K948">_xlfn.IFS(J948&lt;30, "Young Adult", J948&lt;50, "Adult", J948&gt;=50, "Senior")</f>
        <v>Senior</v>
      </c>
      <c r="L948" s="4" t="s">
        <v>17</v>
      </c>
      <c r="M948" s="4">
        <v>1</v>
      </c>
      <c r="N948" s="5">
        <v>300</v>
      </c>
      <c r="O948">
        <f>M948*N948</f>
        <v>300</v>
      </c>
      <c r="P948" s="14">
        <f>O948*$S$3</f>
        <v>4.5</v>
      </c>
    </row>
    <row r="949" spans="1:16">
      <c r="A949" s="2">
        <v>948</v>
      </c>
      <c r="B949" s="4">
        <f>YEAR(G949)</f>
        <v>2023</v>
      </c>
      <c r="C949" s="4">
        <f>MONTH(G949)</f>
        <v>10</v>
      </c>
      <c r="D949" s="4">
        <f>DAY(G949)</f>
        <v>13</v>
      </c>
      <c r="E949" s="4" t="str">
        <f>TEXT(G949, "mmmm")</f>
        <v>October</v>
      </c>
      <c r="F949" s="4" t="str">
        <f>TEXT(G949, "dddd")</f>
        <v>Friday</v>
      </c>
      <c r="G949" s="3">
        <v>45212</v>
      </c>
      <c r="H949" s="4" t="s">
        <v>975</v>
      </c>
      <c r="I949" s="4" t="s">
        <v>20</v>
      </c>
      <c r="J949" s="4">
        <v>23</v>
      </c>
      <c r="K949" s="4" t="str" cm="1">
        <f t="array" ref="K949">_xlfn.IFS(J949&lt;30, "Young Adult", J949&lt;50, "Adult", J949&gt;=50, "Senior")</f>
        <v>Young Adult</v>
      </c>
      <c r="L949" s="4" t="s">
        <v>24</v>
      </c>
      <c r="M949" s="4">
        <v>3</v>
      </c>
      <c r="N949" s="5">
        <v>25</v>
      </c>
      <c r="O949">
        <f>M949*N949</f>
        <v>75</v>
      </c>
      <c r="P949" s="14">
        <f>O949*$S$3</f>
        <v>1.125</v>
      </c>
    </row>
    <row r="950" spans="1:16">
      <c r="A950" s="2">
        <v>949</v>
      </c>
      <c r="B950" s="4">
        <f>YEAR(G950)</f>
        <v>2023</v>
      </c>
      <c r="C950" s="4">
        <f>MONTH(G950)</f>
        <v>8</v>
      </c>
      <c r="D950" s="4">
        <f>DAY(G950)</f>
        <v>2</v>
      </c>
      <c r="E950" s="4" t="str">
        <f>TEXT(G950, "mmmm")</f>
        <v>August</v>
      </c>
      <c r="F950" s="4" t="str">
        <f>TEXT(G950, "dddd")</f>
        <v>Wednesday</v>
      </c>
      <c r="G950" s="3">
        <v>45140</v>
      </c>
      <c r="H950" s="4" t="s">
        <v>976</v>
      </c>
      <c r="I950" s="4" t="s">
        <v>20</v>
      </c>
      <c r="J950" s="4">
        <v>41</v>
      </c>
      <c r="K950" s="4" t="str" cm="1">
        <f t="array" ref="K950">_xlfn.IFS(J950&lt;30, "Young Adult", J950&lt;50, "Adult", J950&gt;=50, "Senior")</f>
        <v>Adult</v>
      </c>
      <c r="L950" s="4" t="s">
        <v>24</v>
      </c>
      <c r="M950" s="4">
        <v>2</v>
      </c>
      <c r="N950" s="5">
        <v>25</v>
      </c>
      <c r="O950">
        <f>M950*N950</f>
        <v>50</v>
      </c>
      <c r="P950" s="14">
        <f>O950*$S$3</f>
        <v>0.75</v>
      </c>
    </row>
    <row r="951" spans="1:16">
      <c r="A951" s="2">
        <v>950</v>
      </c>
      <c r="B951" s="4">
        <f>YEAR(G951)</f>
        <v>2023</v>
      </c>
      <c r="C951" s="4">
        <f>MONTH(G951)</f>
        <v>11</v>
      </c>
      <c r="D951" s="4">
        <f>DAY(G951)</f>
        <v>7</v>
      </c>
      <c r="E951" s="4" t="str">
        <f>TEXT(G951, "mmmm")</f>
        <v>November</v>
      </c>
      <c r="F951" s="4" t="str">
        <f>TEXT(G951, "dddd")</f>
        <v>Tuesday</v>
      </c>
      <c r="G951" s="3">
        <v>45237</v>
      </c>
      <c r="H951" s="4" t="s">
        <v>977</v>
      </c>
      <c r="I951" s="4" t="s">
        <v>16</v>
      </c>
      <c r="J951" s="4">
        <v>36</v>
      </c>
      <c r="K951" s="4" t="str" cm="1">
        <f t="array" ref="K951">_xlfn.IFS(J951&lt;30, "Young Adult", J951&lt;50, "Adult", J951&gt;=50, "Senior")</f>
        <v>Adult</v>
      </c>
      <c r="L951" s="4" t="s">
        <v>21</v>
      </c>
      <c r="M951" s="4">
        <v>3</v>
      </c>
      <c r="N951" s="5">
        <v>300</v>
      </c>
      <c r="O951">
        <f>M951*N951</f>
        <v>900</v>
      </c>
      <c r="P951" s="14">
        <f>O951*$S$3</f>
        <v>13.5</v>
      </c>
    </row>
    <row r="952" spans="1:16">
      <c r="A952" s="2">
        <v>951</v>
      </c>
      <c r="B952" s="4">
        <f>YEAR(G952)</f>
        <v>2023</v>
      </c>
      <c r="C952" s="4">
        <f>MONTH(G952)</f>
        <v>11</v>
      </c>
      <c r="D952" s="4">
        <f>DAY(G952)</f>
        <v>2</v>
      </c>
      <c r="E952" s="4" t="str">
        <f>TEXT(G952, "mmmm")</f>
        <v>November</v>
      </c>
      <c r="F952" s="4" t="str">
        <f>TEXT(G952, "dddd")</f>
        <v>Thursday</v>
      </c>
      <c r="G952" s="3">
        <v>45232</v>
      </c>
      <c r="H952" s="4" t="s">
        <v>978</v>
      </c>
      <c r="I952" s="4" t="s">
        <v>16</v>
      </c>
      <c r="J952" s="4">
        <v>33</v>
      </c>
      <c r="K952" s="4" t="str" cm="1">
        <f t="array" ref="K952">_xlfn.IFS(J952&lt;30, "Young Adult", J952&lt;50, "Adult", J952&gt;=50, "Senior")</f>
        <v>Adult</v>
      </c>
      <c r="L952" s="4" t="s">
        <v>17</v>
      </c>
      <c r="M952" s="4">
        <v>2</v>
      </c>
      <c r="N952" s="5">
        <v>50</v>
      </c>
      <c r="O952">
        <f>M952*N952</f>
        <v>100</v>
      </c>
      <c r="P952" s="14">
        <f>O952*$S$3</f>
        <v>1.5</v>
      </c>
    </row>
    <row r="953" spans="1:16">
      <c r="A953" s="2">
        <v>952</v>
      </c>
      <c r="B953" s="4">
        <f>YEAR(G953)</f>
        <v>2023</v>
      </c>
      <c r="C953" s="4">
        <f>MONTH(G953)</f>
        <v>11</v>
      </c>
      <c r="D953" s="4">
        <f>DAY(G953)</f>
        <v>13</v>
      </c>
      <c r="E953" s="4" t="str">
        <f>TEXT(G953, "mmmm")</f>
        <v>November</v>
      </c>
      <c r="F953" s="4" t="str">
        <f>TEXT(G953, "dddd")</f>
        <v>Monday</v>
      </c>
      <c r="G953" s="3">
        <v>45243</v>
      </c>
      <c r="H953" s="4" t="s">
        <v>979</v>
      </c>
      <c r="I953" s="4" t="s">
        <v>20</v>
      </c>
      <c r="J953" s="4">
        <v>57</v>
      </c>
      <c r="K953" s="4" t="str" cm="1">
        <f t="array" ref="K953">_xlfn.IFS(J953&lt;30, "Young Adult", J953&lt;50, "Adult", J953&gt;=50, "Senior")</f>
        <v>Senior</v>
      </c>
      <c r="L953" s="4" t="s">
        <v>21</v>
      </c>
      <c r="M953" s="4">
        <v>1</v>
      </c>
      <c r="N953" s="5">
        <v>25</v>
      </c>
      <c r="O953">
        <f>M953*N953</f>
        <v>25</v>
      </c>
      <c r="P953" s="14">
        <f>O953*$S$3</f>
        <v>0.375</v>
      </c>
    </row>
    <row r="954" spans="1:16">
      <c r="A954" s="2">
        <v>953</v>
      </c>
      <c r="B954" s="4">
        <f>YEAR(G954)</f>
        <v>2023</v>
      </c>
      <c r="C954" s="4">
        <f>MONTH(G954)</f>
        <v>4</v>
      </c>
      <c r="D954" s="4">
        <f>DAY(G954)</f>
        <v>26</v>
      </c>
      <c r="E954" s="4" t="str">
        <f>TEXT(G954, "mmmm")</f>
        <v>April</v>
      </c>
      <c r="F954" s="4" t="str">
        <f>TEXT(G954, "dddd")</f>
        <v>Wednesday</v>
      </c>
      <c r="G954" s="3">
        <v>45042</v>
      </c>
      <c r="H954" s="4" t="s">
        <v>980</v>
      </c>
      <c r="I954" s="4" t="s">
        <v>16</v>
      </c>
      <c r="J954" s="4">
        <v>45</v>
      </c>
      <c r="K954" s="4" t="str" cm="1">
        <f t="array" ref="K954">_xlfn.IFS(J954&lt;30, "Young Adult", J954&lt;50, "Adult", J954&gt;=50, "Senior")</f>
        <v>Adult</v>
      </c>
      <c r="L954" s="4" t="s">
        <v>17</v>
      </c>
      <c r="M954" s="4">
        <v>3</v>
      </c>
      <c r="N954" s="5">
        <v>30</v>
      </c>
      <c r="O954">
        <f>M954*N954</f>
        <v>90</v>
      </c>
      <c r="P954" s="14">
        <f>O954*$S$3</f>
        <v>1.3499999999999999</v>
      </c>
    </row>
    <row r="955" spans="1:16">
      <c r="A955" s="2">
        <v>954</v>
      </c>
      <c r="B955" s="4">
        <f>YEAR(G955)</f>
        <v>2023</v>
      </c>
      <c r="C955" s="4">
        <f>MONTH(G955)</f>
        <v>9</v>
      </c>
      <c r="D955" s="4">
        <f>DAY(G955)</f>
        <v>25</v>
      </c>
      <c r="E955" s="4" t="str">
        <f>TEXT(G955, "mmmm")</f>
        <v>September</v>
      </c>
      <c r="F955" s="4" t="str">
        <f>TEXT(G955, "dddd")</f>
        <v>Monday</v>
      </c>
      <c r="G955" s="3">
        <v>45194</v>
      </c>
      <c r="H955" s="4" t="s">
        <v>981</v>
      </c>
      <c r="I955" s="4" t="s">
        <v>20</v>
      </c>
      <c r="J955" s="4">
        <v>50</v>
      </c>
      <c r="K955" s="4" t="str" cm="1">
        <f t="array" ref="K955">_xlfn.IFS(J955&lt;30, "Young Adult", J955&lt;50, "Adult", J955&gt;=50, "Senior")</f>
        <v>Senior</v>
      </c>
      <c r="L955" s="4" t="s">
        <v>24</v>
      </c>
      <c r="M955" s="4">
        <v>3</v>
      </c>
      <c r="N955" s="5">
        <v>300</v>
      </c>
      <c r="O955">
        <f>M955*N955</f>
        <v>900</v>
      </c>
      <c r="P955" s="14">
        <f>O955*$S$3</f>
        <v>13.5</v>
      </c>
    </row>
    <row r="956" spans="1:16">
      <c r="A956" s="2">
        <v>955</v>
      </c>
      <c r="B956" s="4">
        <f>YEAR(G956)</f>
        <v>2023</v>
      </c>
      <c r="C956" s="4">
        <f>MONTH(G956)</f>
        <v>7</v>
      </c>
      <c r="D956" s="4">
        <f>DAY(G956)</f>
        <v>14</v>
      </c>
      <c r="E956" s="4" t="str">
        <f>TEXT(G956, "mmmm")</f>
        <v>July</v>
      </c>
      <c r="F956" s="4" t="str">
        <f>TEXT(G956, "dddd")</f>
        <v>Friday</v>
      </c>
      <c r="G956" s="3">
        <v>45121</v>
      </c>
      <c r="H956" s="4" t="s">
        <v>982</v>
      </c>
      <c r="I956" s="4" t="s">
        <v>16</v>
      </c>
      <c r="J956" s="4">
        <v>58</v>
      </c>
      <c r="K956" s="4" t="str" cm="1">
        <f t="array" ref="K956">_xlfn.IFS(J956&lt;30, "Young Adult", J956&lt;50, "Adult", J956&gt;=50, "Senior")</f>
        <v>Senior</v>
      </c>
      <c r="L956" s="4" t="s">
        <v>21</v>
      </c>
      <c r="M956" s="4">
        <v>1</v>
      </c>
      <c r="N956" s="5">
        <v>25</v>
      </c>
      <c r="O956">
        <f>M956*N956</f>
        <v>25</v>
      </c>
      <c r="P956" s="14">
        <f>O956*$S$3</f>
        <v>0.375</v>
      </c>
    </row>
    <row r="957" spans="1:16">
      <c r="A957" s="2">
        <v>956</v>
      </c>
      <c r="B957" s="4">
        <f>YEAR(G957)</f>
        <v>2023</v>
      </c>
      <c r="C957" s="4">
        <f>MONTH(G957)</f>
        <v>8</v>
      </c>
      <c r="D957" s="4">
        <f>DAY(G957)</f>
        <v>19</v>
      </c>
      <c r="E957" s="4" t="str">
        <f>TEXT(G957, "mmmm")</f>
        <v>August</v>
      </c>
      <c r="F957" s="4" t="str">
        <f>TEXT(G957, "dddd")</f>
        <v>Saturday</v>
      </c>
      <c r="G957" s="3">
        <v>45157</v>
      </c>
      <c r="H957" s="4" t="s">
        <v>983</v>
      </c>
      <c r="I957" s="4" t="s">
        <v>16</v>
      </c>
      <c r="J957" s="4">
        <v>30</v>
      </c>
      <c r="K957" s="4" t="str" cm="1">
        <f t="array" ref="K957">_xlfn.IFS(J957&lt;30, "Young Adult", J957&lt;50, "Adult", J957&gt;=50, "Senior")</f>
        <v>Adult</v>
      </c>
      <c r="L957" s="4" t="s">
        <v>21</v>
      </c>
      <c r="M957" s="4">
        <v>3</v>
      </c>
      <c r="N957" s="5">
        <v>500</v>
      </c>
      <c r="O957">
        <f>M957*N957</f>
        <v>1500</v>
      </c>
      <c r="P957" s="14">
        <f>O957*$S$3</f>
        <v>22.5</v>
      </c>
    </row>
    <row r="958" spans="1:16">
      <c r="A958" s="2">
        <v>957</v>
      </c>
      <c r="B958" s="4">
        <f>YEAR(G958)</f>
        <v>2023</v>
      </c>
      <c r="C958" s="4">
        <f>MONTH(G958)</f>
        <v>8</v>
      </c>
      <c r="D958" s="4">
        <f>DAY(G958)</f>
        <v>15</v>
      </c>
      <c r="E958" s="4" t="str">
        <f>TEXT(G958, "mmmm")</f>
        <v>August</v>
      </c>
      <c r="F958" s="4" t="str">
        <f>TEXT(G958, "dddd")</f>
        <v>Tuesday</v>
      </c>
      <c r="G958" s="3">
        <v>45153</v>
      </c>
      <c r="H958" s="4" t="s">
        <v>984</v>
      </c>
      <c r="I958" s="4" t="s">
        <v>20</v>
      </c>
      <c r="J958" s="4">
        <v>60</v>
      </c>
      <c r="K958" s="4" t="str" cm="1">
        <f t="array" ref="K958">_xlfn.IFS(J958&lt;30, "Young Adult", J958&lt;50, "Adult", J958&gt;=50, "Senior")</f>
        <v>Senior</v>
      </c>
      <c r="L958" s="4" t="s">
        <v>24</v>
      </c>
      <c r="M958" s="4">
        <v>4</v>
      </c>
      <c r="N958" s="5">
        <v>30</v>
      </c>
      <c r="O958">
        <f>M958*N958</f>
        <v>120</v>
      </c>
      <c r="P958" s="14">
        <f>O958*$S$3</f>
        <v>1.7999999999999998</v>
      </c>
    </row>
    <row r="959" spans="1:16">
      <c r="A959" s="2">
        <v>958</v>
      </c>
      <c r="B959" s="4">
        <f>YEAR(G959)</f>
        <v>2023</v>
      </c>
      <c r="C959" s="4">
        <f>MONTH(G959)</f>
        <v>6</v>
      </c>
      <c r="D959" s="4">
        <f>DAY(G959)</f>
        <v>2</v>
      </c>
      <c r="E959" s="4" t="str">
        <f>TEXT(G959, "mmmm")</f>
        <v>June</v>
      </c>
      <c r="F959" s="4" t="str">
        <f>TEXT(G959, "dddd")</f>
        <v>Friday</v>
      </c>
      <c r="G959" s="3">
        <v>45079</v>
      </c>
      <c r="H959" s="4" t="s">
        <v>985</v>
      </c>
      <c r="I959" s="4" t="s">
        <v>16</v>
      </c>
      <c r="J959" s="4">
        <v>62</v>
      </c>
      <c r="K959" s="4" t="str" cm="1">
        <f t="array" ref="K959">_xlfn.IFS(J959&lt;30, "Young Adult", J959&lt;50, "Adult", J959&gt;=50, "Senior")</f>
        <v>Senior</v>
      </c>
      <c r="L959" s="4" t="s">
        <v>24</v>
      </c>
      <c r="M959" s="4">
        <v>2</v>
      </c>
      <c r="N959" s="5">
        <v>25</v>
      </c>
      <c r="O959">
        <f>M959*N959</f>
        <v>50</v>
      </c>
      <c r="P959" s="14">
        <f>O959*$S$3</f>
        <v>0.75</v>
      </c>
    </row>
    <row r="960" spans="1:16">
      <c r="A960" s="2">
        <v>959</v>
      </c>
      <c r="B960" s="4">
        <f>YEAR(G960)</f>
        <v>2023</v>
      </c>
      <c r="C960" s="4">
        <f>MONTH(G960)</f>
        <v>10</v>
      </c>
      <c r="D960" s="4">
        <f>DAY(G960)</f>
        <v>29</v>
      </c>
      <c r="E960" s="4" t="str">
        <f>TEXT(G960, "mmmm")</f>
        <v>October</v>
      </c>
      <c r="F960" s="4" t="str">
        <f>TEXT(G960, "dddd")</f>
        <v>Sunday</v>
      </c>
      <c r="G960" s="3">
        <v>45228</v>
      </c>
      <c r="H960" s="4" t="s">
        <v>986</v>
      </c>
      <c r="I960" s="4" t="s">
        <v>20</v>
      </c>
      <c r="J960" s="4">
        <v>42</v>
      </c>
      <c r="K960" s="4" t="str" cm="1">
        <f t="array" ref="K960">_xlfn.IFS(J960&lt;30, "Young Adult", J960&lt;50, "Adult", J960&gt;=50, "Senior")</f>
        <v>Adult</v>
      </c>
      <c r="L960" s="4" t="s">
        <v>24</v>
      </c>
      <c r="M960" s="4">
        <v>2</v>
      </c>
      <c r="N960" s="5">
        <v>30</v>
      </c>
      <c r="O960">
        <f>M960*N960</f>
        <v>60</v>
      </c>
      <c r="P960" s="14">
        <f>O960*$S$3</f>
        <v>0.89999999999999991</v>
      </c>
    </row>
    <row r="961" spans="1:16">
      <c r="A961" s="2">
        <v>960</v>
      </c>
      <c r="B961" s="4">
        <f>YEAR(G961)</f>
        <v>2023</v>
      </c>
      <c r="C961" s="4">
        <f>MONTH(G961)</f>
        <v>8</v>
      </c>
      <c r="D961" s="4">
        <f>DAY(G961)</f>
        <v>8</v>
      </c>
      <c r="E961" s="4" t="str">
        <f>TEXT(G961, "mmmm")</f>
        <v>August</v>
      </c>
      <c r="F961" s="4" t="str">
        <f>TEXT(G961, "dddd")</f>
        <v>Tuesday</v>
      </c>
      <c r="G961" s="3">
        <v>45146</v>
      </c>
      <c r="H961" s="4" t="s">
        <v>987</v>
      </c>
      <c r="I961" s="4" t="s">
        <v>16</v>
      </c>
      <c r="J961" s="4">
        <v>59</v>
      </c>
      <c r="K961" s="4" t="str" cm="1">
        <f t="array" ref="K961">_xlfn.IFS(J961&lt;30, "Young Adult", J961&lt;50, "Adult", J961&gt;=50, "Senior")</f>
        <v>Senior</v>
      </c>
      <c r="L961" s="4" t="s">
        <v>21</v>
      </c>
      <c r="M961" s="4">
        <v>2</v>
      </c>
      <c r="N961" s="5">
        <v>30</v>
      </c>
      <c r="O961">
        <f>M961*N961</f>
        <v>60</v>
      </c>
      <c r="P961" s="14">
        <f>O961*$S$3</f>
        <v>0.89999999999999991</v>
      </c>
    </row>
    <row r="962" spans="1:16">
      <c r="A962" s="2">
        <v>961</v>
      </c>
      <c r="B962" s="4">
        <f>YEAR(G962)</f>
        <v>2023</v>
      </c>
      <c r="C962" s="4">
        <f>MONTH(G962)</f>
        <v>6</v>
      </c>
      <c r="D962" s="4">
        <f>DAY(G962)</f>
        <v>6</v>
      </c>
      <c r="E962" s="4" t="str">
        <f>TEXT(G962, "mmmm")</f>
        <v>June</v>
      </c>
      <c r="F962" s="4" t="str">
        <f>TEXT(G962, "dddd")</f>
        <v>Tuesday</v>
      </c>
      <c r="G962" s="3">
        <v>45083</v>
      </c>
      <c r="H962" s="4" t="s">
        <v>988</v>
      </c>
      <c r="I962" s="4" t="s">
        <v>16</v>
      </c>
      <c r="J962" s="4">
        <v>53</v>
      </c>
      <c r="K962" s="4" t="str" cm="1">
        <f t="array" ref="K962">_xlfn.IFS(J962&lt;30, "Young Adult", J962&lt;50, "Adult", J962&gt;=50, "Senior")</f>
        <v>Senior</v>
      </c>
      <c r="L962" s="4" t="s">
        <v>17</v>
      </c>
      <c r="M962" s="4">
        <v>4</v>
      </c>
      <c r="N962" s="5">
        <v>50</v>
      </c>
      <c r="O962">
        <f>M962*N962</f>
        <v>200</v>
      </c>
      <c r="P962" s="14">
        <f>O962*$S$3</f>
        <v>3</v>
      </c>
    </row>
    <row r="963" spans="1:16">
      <c r="A963" s="2">
        <v>962</v>
      </c>
      <c r="B963" s="4">
        <f>YEAR(G963)</f>
        <v>2023</v>
      </c>
      <c r="C963" s="4">
        <f>MONTH(G963)</f>
        <v>10</v>
      </c>
      <c r="D963" s="4">
        <f>DAY(G963)</f>
        <v>19</v>
      </c>
      <c r="E963" s="4" t="str">
        <f>TEXT(G963, "mmmm")</f>
        <v>October</v>
      </c>
      <c r="F963" s="4" t="str">
        <f>TEXT(G963, "dddd")</f>
        <v>Thursday</v>
      </c>
      <c r="G963" s="3">
        <v>45218</v>
      </c>
      <c r="H963" s="4" t="s">
        <v>989</v>
      </c>
      <c r="I963" s="4" t="s">
        <v>16</v>
      </c>
      <c r="J963" s="4">
        <v>44</v>
      </c>
      <c r="K963" s="4" t="str" cm="1">
        <f t="array" ref="K963">_xlfn.IFS(J963&lt;30, "Young Adult", J963&lt;50, "Adult", J963&gt;=50, "Senior")</f>
        <v>Adult</v>
      </c>
      <c r="L963" s="4" t="s">
        <v>21</v>
      </c>
      <c r="M963" s="4">
        <v>2</v>
      </c>
      <c r="N963" s="5">
        <v>30</v>
      </c>
      <c r="O963">
        <f>M963*N963</f>
        <v>60</v>
      </c>
      <c r="P963" s="14">
        <f>O963*$S$3</f>
        <v>0.89999999999999991</v>
      </c>
    </row>
    <row r="964" spans="1:16">
      <c r="A964" s="2">
        <v>963</v>
      </c>
      <c r="B964" s="4">
        <f>YEAR(G964)</f>
        <v>2023</v>
      </c>
      <c r="C964" s="4">
        <f>MONTH(G964)</f>
        <v>11</v>
      </c>
      <c r="D964" s="4">
        <f>DAY(G964)</f>
        <v>14</v>
      </c>
      <c r="E964" s="4" t="str">
        <f>TEXT(G964, "mmmm")</f>
        <v>November</v>
      </c>
      <c r="F964" s="4" t="str">
        <f>TEXT(G964, "dddd")</f>
        <v>Tuesday</v>
      </c>
      <c r="G964" s="3">
        <v>45244</v>
      </c>
      <c r="H964" s="4" t="s">
        <v>990</v>
      </c>
      <c r="I964" s="4" t="s">
        <v>20</v>
      </c>
      <c r="J964" s="4">
        <v>55</v>
      </c>
      <c r="K964" s="4" t="str" cm="1">
        <f t="array" ref="K964">_xlfn.IFS(J964&lt;30, "Young Adult", J964&lt;50, "Adult", J964&gt;=50, "Senior")</f>
        <v>Senior</v>
      </c>
      <c r="L964" s="4" t="s">
        <v>17</v>
      </c>
      <c r="M964" s="4">
        <v>1</v>
      </c>
      <c r="N964" s="5">
        <v>50</v>
      </c>
      <c r="O964">
        <f>M964*N964</f>
        <v>50</v>
      </c>
      <c r="P964" s="14">
        <f>O964*$S$3</f>
        <v>0.75</v>
      </c>
    </row>
    <row r="965" spans="1:16">
      <c r="A965" s="2">
        <v>964</v>
      </c>
      <c r="B965" s="4">
        <f>YEAR(G965)</f>
        <v>2023</v>
      </c>
      <c r="C965" s="4">
        <f>MONTH(G965)</f>
        <v>1</v>
      </c>
      <c r="D965" s="4">
        <f>DAY(G965)</f>
        <v>31</v>
      </c>
      <c r="E965" s="4" t="str">
        <f>TEXT(G965, "mmmm")</f>
        <v>January</v>
      </c>
      <c r="F965" s="4" t="str">
        <f>TEXT(G965, "dddd")</f>
        <v>Tuesday</v>
      </c>
      <c r="G965" s="3">
        <v>44957</v>
      </c>
      <c r="H965" s="4" t="s">
        <v>991</v>
      </c>
      <c r="I965" s="4" t="s">
        <v>16</v>
      </c>
      <c r="J965" s="4">
        <v>24</v>
      </c>
      <c r="K965" s="4" t="str" cm="1">
        <f t="array" ref="K965">_xlfn.IFS(J965&lt;30, "Young Adult", J965&lt;50, "Adult", J965&gt;=50, "Senior")</f>
        <v>Young Adult</v>
      </c>
      <c r="L965" s="4" t="s">
        <v>21</v>
      </c>
      <c r="M965" s="4">
        <v>3</v>
      </c>
      <c r="N965" s="5">
        <v>300</v>
      </c>
      <c r="O965">
        <f>M965*N965</f>
        <v>900</v>
      </c>
      <c r="P965" s="14">
        <f>O965*$S$3</f>
        <v>13.5</v>
      </c>
    </row>
    <row r="966" spans="1:16">
      <c r="A966" s="2">
        <v>965</v>
      </c>
      <c r="B966" s="4">
        <f>YEAR(G966)</f>
        <v>2023</v>
      </c>
      <c r="C966" s="4">
        <f>MONTH(G966)</f>
        <v>11</v>
      </c>
      <c r="D966" s="4">
        <f>DAY(G966)</f>
        <v>9</v>
      </c>
      <c r="E966" s="4" t="str">
        <f>TEXT(G966, "mmmm")</f>
        <v>November</v>
      </c>
      <c r="F966" s="4" t="str">
        <f>TEXT(G966, "dddd")</f>
        <v>Thursday</v>
      </c>
      <c r="G966" s="3">
        <v>45239</v>
      </c>
      <c r="H966" s="4" t="s">
        <v>992</v>
      </c>
      <c r="I966" s="4" t="s">
        <v>16</v>
      </c>
      <c r="J966" s="4">
        <v>22</v>
      </c>
      <c r="K966" s="4" t="str" cm="1">
        <f t="array" ref="K966">_xlfn.IFS(J966&lt;30, "Young Adult", J966&lt;50, "Adult", J966&gt;=50, "Senior")</f>
        <v>Young Adult</v>
      </c>
      <c r="L966" s="4" t="s">
        <v>21</v>
      </c>
      <c r="M966" s="4">
        <v>4</v>
      </c>
      <c r="N966" s="5">
        <v>50</v>
      </c>
      <c r="O966">
        <f>M966*N966</f>
        <v>200</v>
      </c>
      <c r="P966" s="14">
        <f>O966*$S$3</f>
        <v>3</v>
      </c>
    </row>
    <row r="967" spans="1:16">
      <c r="A967" s="2">
        <v>966</v>
      </c>
      <c r="B967" s="4">
        <f>YEAR(G967)</f>
        <v>2023</v>
      </c>
      <c r="C967" s="4">
        <f>MONTH(G967)</f>
        <v>2</v>
      </c>
      <c r="D967" s="4">
        <f>DAY(G967)</f>
        <v>20</v>
      </c>
      <c r="E967" s="4" t="str">
        <f>TEXT(G967, "mmmm")</f>
        <v>February</v>
      </c>
      <c r="F967" s="4" t="str">
        <f>TEXT(G967, "dddd")</f>
        <v>Monday</v>
      </c>
      <c r="G967" s="3">
        <v>44977</v>
      </c>
      <c r="H967" s="4" t="s">
        <v>993</v>
      </c>
      <c r="I967" s="4" t="s">
        <v>16</v>
      </c>
      <c r="J967" s="4">
        <v>60</v>
      </c>
      <c r="K967" s="4" t="str" cm="1">
        <f t="array" ref="K967">_xlfn.IFS(J967&lt;30, "Young Adult", J967&lt;50, "Adult", J967&gt;=50, "Senior")</f>
        <v>Senior</v>
      </c>
      <c r="L967" s="4" t="s">
        <v>24</v>
      </c>
      <c r="M967" s="4">
        <v>2</v>
      </c>
      <c r="N967" s="5">
        <v>500</v>
      </c>
      <c r="O967">
        <f>M967*N967</f>
        <v>1000</v>
      </c>
      <c r="P967" s="14">
        <f>O967*$S$3</f>
        <v>15</v>
      </c>
    </row>
    <row r="968" spans="1:16">
      <c r="A968" s="2">
        <v>967</v>
      </c>
      <c r="B968" s="4">
        <f>YEAR(G968)</f>
        <v>2023</v>
      </c>
      <c r="C968" s="4">
        <f>MONTH(G968)</f>
        <v>4</v>
      </c>
      <c r="D968" s="4">
        <f>DAY(G968)</f>
        <v>17</v>
      </c>
      <c r="E968" s="4" t="str">
        <f>TEXT(G968, "mmmm")</f>
        <v>April</v>
      </c>
      <c r="F968" s="4" t="str">
        <f>TEXT(G968, "dddd")</f>
        <v>Monday</v>
      </c>
      <c r="G968" s="3">
        <v>45033</v>
      </c>
      <c r="H968" s="4" t="s">
        <v>994</v>
      </c>
      <c r="I968" s="4" t="s">
        <v>16</v>
      </c>
      <c r="J968" s="4">
        <v>62</v>
      </c>
      <c r="K968" s="4" t="str" cm="1">
        <f t="array" ref="K968">_xlfn.IFS(J968&lt;30, "Young Adult", J968&lt;50, "Adult", J968&gt;=50, "Senior")</f>
        <v>Senior</v>
      </c>
      <c r="L968" s="4" t="s">
        <v>17</v>
      </c>
      <c r="M968" s="4">
        <v>1</v>
      </c>
      <c r="N968" s="5">
        <v>25</v>
      </c>
      <c r="O968">
        <f>M968*N968</f>
        <v>25</v>
      </c>
      <c r="P968" s="14">
        <f>O968*$S$3</f>
        <v>0.375</v>
      </c>
    </row>
    <row r="969" spans="1:16">
      <c r="A969" s="2">
        <v>968</v>
      </c>
      <c r="B969" s="4">
        <f>YEAR(G969)</f>
        <v>2023</v>
      </c>
      <c r="C969" s="4">
        <f>MONTH(G969)</f>
        <v>11</v>
      </c>
      <c r="D969" s="4">
        <f>DAY(G969)</f>
        <v>17</v>
      </c>
      <c r="E969" s="4" t="str">
        <f>TEXT(G969, "mmmm")</f>
        <v>November</v>
      </c>
      <c r="F969" s="4" t="str">
        <f>TEXT(G969, "dddd")</f>
        <v>Friday</v>
      </c>
      <c r="G969" s="3">
        <v>45247</v>
      </c>
      <c r="H969" s="4" t="s">
        <v>995</v>
      </c>
      <c r="I969" s="4" t="s">
        <v>20</v>
      </c>
      <c r="J969" s="4">
        <v>48</v>
      </c>
      <c r="K969" s="4" t="str" cm="1">
        <f t="array" ref="K969">_xlfn.IFS(J969&lt;30, "Young Adult", J969&lt;50, "Adult", J969&gt;=50, "Senior")</f>
        <v>Adult</v>
      </c>
      <c r="L969" s="4" t="s">
        <v>21</v>
      </c>
      <c r="M969" s="4">
        <v>3</v>
      </c>
      <c r="N969" s="5">
        <v>300</v>
      </c>
      <c r="O969">
        <f>M969*N969</f>
        <v>900</v>
      </c>
      <c r="P969" s="14">
        <f>O969*$S$3</f>
        <v>13.5</v>
      </c>
    </row>
    <row r="970" spans="1:16">
      <c r="A970" s="2">
        <v>969</v>
      </c>
      <c r="B970" s="4">
        <f>YEAR(G970)</f>
        <v>2023</v>
      </c>
      <c r="C970" s="4">
        <f>MONTH(G970)</f>
        <v>4</v>
      </c>
      <c r="D970" s="4">
        <f>DAY(G970)</f>
        <v>19</v>
      </c>
      <c r="E970" s="4" t="str">
        <f>TEXT(G970, "mmmm")</f>
        <v>April</v>
      </c>
      <c r="F970" s="4" t="str">
        <f>TEXT(G970, "dddd")</f>
        <v>Wednesday</v>
      </c>
      <c r="G970" s="3">
        <v>45035</v>
      </c>
      <c r="H970" s="4" t="s">
        <v>996</v>
      </c>
      <c r="I970" s="4" t="s">
        <v>20</v>
      </c>
      <c r="J970" s="4">
        <v>40</v>
      </c>
      <c r="K970" s="4" t="str" cm="1">
        <f t="array" ref="K970">_xlfn.IFS(J970&lt;30, "Young Adult", J970&lt;50, "Adult", J970&gt;=50, "Senior")</f>
        <v>Adult</v>
      </c>
      <c r="L970" s="4" t="s">
        <v>21</v>
      </c>
      <c r="M970" s="4">
        <v>3</v>
      </c>
      <c r="N970" s="5">
        <v>300</v>
      </c>
      <c r="O970">
        <f>M970*N970</f>
        <v>900</v>
      </c>
      <c r="P970" s="14">
        <f>O970*$S$3</f>
        <v>13.5</v>
      </c>
    </row>
    <row r="971" spans="1:16">
      <c r="A971" s="2">
        <v>970</v>
      </c>
      <c r="B971" s="4">
        <f>YEAR(G971)</f>
        <v>2023</v>
      </c>
      <c r="C971" s="4">
        <f>MONTH(G971)</f>
        <v>5</v>
      </c>
      <c r="D971" s="4">
        <f>DAY(G971)</f>
        <v>16</v>
      </c>
      <c r="E971" s="4" t="str">
        <f>TEXT(G971, "mmmm")</f>
        <v>May</v>
      </c>
      <c r="F971" s="4" t="str">
        <f>TEXT(G971, "dddd")</f>
        <v>Tuesday</v>
      </c>
      <c r="G971" s="3">
        <v>45062</v>
      </c>
      <c r="H971" s="4" t="s">
        <v>997</v>
      </c>
      <c r="I971" s="4" t="s">
        <v>16</v>
      </c>
      <c r="J971" s="4">
        <v>59</v>
      </c>
      <c r="K971" s="4" t="str" cm="1">
        <f t="array" ref="K971">_xlfn.IFS(J971&lt;30, "Young Adult", J971&lt;50, "Adult", J971&gt;=50, "Senior")</f>
        <v>Senior</v>
      </c>
      <c r="L971" s="4" t="s">
        <v>24</v>
      </c>
      <c r="M971" s="4">
        <v>4</v>
      </c>
      <c r="N971" s="5">
        <v>500</v>
      </c>
      <c r="O971">
        <f>M971*N971</f>
        <v>2000</v>
      </c>
      <c r="P971" s="14">
        <f>O971*$S$3</f>
        <v>30</v>
      </c>
    </row>
    <row r="972" spans="1:16">
      <c r="A972" s="2">
        <v>971</v>
      </c>
      <c r="B972" s="4">
        <f>YEAR(G972)</f>
        <v>2023</v>
      </c>
      <c r="C972" s="4">
        <f>MONTH(G972)</f>
        <v>12</v>
      </c>
      <c r="D972" s="4">
        <f>DAY(G972)</f>
        <v>5</v>
      </c>
      <c r="E972" s="4" t="str">
        <f>TEXT(G972, "mmmm")</f>
        <v>December</v>
      </c>
      <c r="F972" s="4" t="str">
        <f>TEXT(G972, "dddd")</f>
        <v>Tuesday</v>
      </c>
      <c r="G972" s="3">
        <v>45265</v>
      </c>
      <c r="H972" s="4" t="s">
        <v>998</v>
      </c>
      <c r="I972" s="4" t="s">
        <v>20</v>
      </c>
      <c r="J972" s="4">
        <v>27</v>
      </c>
      <c r="K972" s="4" t="str" cm="1">
        <f t="array" ref="K972">_xlfn.IFS(J972&lt;30, "Young Adult", J972&lt;50, "Adult", J972&gt;=50, "Senior")</f>
        <v>Young Adult</v>
      </c>
      <c r="L972" s="4" t="s">
        <v>24</v>
      </c>
      <c r="M972" s="4">
        <v>4</v>
      </c>
      <c r="N972" s="5">
        <v>50</v>
      </c>
      <c r="O972">
        <f>M972*N972</f>
        <v>200</v>
      </c>
      <c r="P972" s="14">
        <f>O972*$S$3</f>
        <v>3</v>
      </c>
    </row>
    <row r="973" spans="1:16">
      <c r="A973" s="2">
        <v>972</v>
      </c>
      <c r="B973" s="4">
        <f>YEAR(G973)</f>
        <v>2023</v>
      </c>
      <c r="C973" s="4">
        <f>MONTH(G973)</f>
        <v>2</v>
      </c>
      <c r="D973" s="4">
        <f>DAY(G973)</f>
        <v>11</v>
      </c>
      <c r="E973" s="4" t="str">
        <f>TEXT(G973, "mmmm")</f>
        <v>February</v>
      </c>
      <c r="F973" s="4" t="str">
        <f>TEXT(G973, "dddd")</f>
        <v>Saturday</v>
      </c>
      <c r="G973" s="3">
        <v>44968</v>
      </c>
      <c r="H973" s="4" t="s">
        <v>999</v>
      </c>
      <c r="I973" s="4" t="s">
        <v>16</v>
      </c>
      <c r="J973" s="4">
        <v>49</v>
      </c>
      <c r="K973" s="4" t="str" cm="1">
        <f t="array" ref="K973">_xlfn.IFS(J973&lt;30, "Young Adult", J973&lt;50, "Adult", J973&gt;=50, "Senior")</f>
        <v>Adult</v>
      </c>
      <c r="L973" s="4" t="s">
        <v>17</v>
      </c>
      <c r="M973" s="4">
        <v>4</v>
      </c>
      <c r="N973" s="5">
        <v>25</v>
      </c>
      <c r="O973">
        <f>M973*N973</f>
        <v>100</v>
      </c>
      <c r="P973" s="14">
        <f>O973*$S$3</f>
        <v>1.5</v>
      </c>
    </row>
    <row r="974" spans="1:16">
      <c r="A974" s="2">
        <v>973</v>
      </c>
      <c r="B974" s="4">
        <f>YEAR(G974)</f>
        <v>2023</v>
      </c>
      <c r="C974" s="4">
        <f>MONTH(G974)</f>
        <v>3</v>
      </c>
      <c r="D974" s="4">
        <f>DAY(G974)</f>
        <v>22</v>
      </c>
      <c r="E974" s="4" t="str">
        <f>TEXT(G974, "mmmm")</f>
        <v>March</v>
      </c>
      <c r="F974" s="4" t="str">
        <f>TEXT(G974, "dddd")</f>
        <v>Wednesday</v>
      </c>
      <c r="G974" s="3">
        <v>45007</v>
      </c>
      <c r="H974" s="4" t="s">
        <v>1000</v>
      </c>
      <c r="I974" s="4" t="s">
        <v>16</v>
      </c>
      <c r="J974" s="4">
        <v>60</v>
      </c>
      <c r="K974" s="4" t="str" cm="1">
        <f t="array" ref="K974">_xlfn.IFS(J974&lt;30, "Young Adult", J974&lt;50, "Adult", J974&gt;=50, "Senior")</f>
        <v>Senior</v>
      </c>
      <c r="L974" s="4" t="s">
        <v>21</v>
      </c>
      <c r="M974" s="4">
        <v>1</v>
      </c>
      <c r="N974" s="5">
        <v>50</v>
      </c>
      <c r="O974">
        <f>M974*N974</f>
        <v>50</v>
      </c>
      <c r="P974" s="14">
        <f>O974*$S$3</f>
        <v>0.75</v>
      </c>
    </row>
    <row r="975" spans="1:16">
      <c r="A975" s="2">
        <v>974</v>
      </c>
      <c r="B975" s="4">
        <f>YEAR(G975)</f>
        <v>2023</v>
      </c>
      <c r="C975" s="4">
        <f>MONTH(G975)</f>
        <v>5</v>
      </c>
      <c r="D975" s="4">
        <f>DAY(G975)</f>
        <v>3</v>
      </c>
      <c r="E975" s="4" t="str">
        <f>TEXT(G975, "mmmm")</f>
        <v>May</v>
      </c>
      <c r="F975" s="4" t="str">
        <f>TEXT(G975, "dddd")</f>
        <v>Wednesday</v>
      </c>
      <c r="G975" s="3">
        <v>45049</v>
      </c>
      <c r="H975" s="4" t="s">
        <v>1001</v>
      </c>
      <c r="I975" s="4" t="s">
        <v>16</v>
      </c>
      <c r="J975" s="4">
        <v>47</v>
      </c>
      <c r="K975" s="4" t="str" cm="1">
        <f t="array" ref="K975">_xlfn.IFS(J975&lt;30, "Young Adult", J975&lt;50, "Adult", J975&gt;=50, "Senior")</f>
        <v>Adult</v>
      </c>
      <c r="L975" s="4" t="s">
        <v>17</v>
      </c>
      <c r="M975" s="4">
        <v>1</v>
      </c>
      <c r="N975" s="5">
        <v>30</v>
      </c>
      <c r="O975">
        <f>M975*N975</f>
        <v>30</v>
      </c>
      <c r="P975" s="14">
        <f>O975*$S$3</f>
        <v>0.44999999999999996</v>
      </c>
    </row>
    <row r="976" spans="1:16">
      <c r="A976" s="2">
        <v>975</v>
      </c>
      <c r="B976" s="4">
        <f>YEAR(G976)</f>
        <v>2023</v>
      </c>
      <c r="C976" s="4">
        <f>MONTH(G976)</f>
        <v>3</v>
      </c>
      <c r="D976" s="4">
        <f>DAY(G976)</f>
        <v>30</v>
      </c>
      <c r="E976" s="4" t="str">
        <f>TEXT(G976, "mmmm")</f>
        <v>March</v>
      </c>
      <c r="F976" s="4" t="str">
        <f>TEXT(G976, "dddd")</f>
        <v>Thursday</v>
      </c>
      <c r="G976" s="3">
        <v>45015</v>
      </c>
      <c r="H976" s="4" t="s">
        <v>1002</v>
      </c>
      <c r="I976" s="4" t="s">
        <v>20</v>
      </c>
      <c r="J976" s="4">
        <v>56</v>
      </c>
      <c r="K976" s="4" t="str" cm="1">
        <f t="array" ref="K976">_xlfn.IFS(J976&lt;30, "Young Adult", J976&lt;50, "Adult", J976&gt;=50, "Senior")</f>
        <v>Senior</v>
      </c>
      <c r="L976" s="4" t="s">
        <v>21</v>
      </c>
      <c r="M976" s="4">
        <v>4</v>
      </c>
      <c r="N976" s="5">
        <v>50</v>
      </c>
      <c r="O976">
        <f>M976*N976</f>
        <v>200</v>
      </c>
      <c r="P976" s="14">
        <f>O976*$S$3</f>
        <v>3</v>
      </c>
    </row>
    <row r="977" spans="1:16">
      <c r="A977" s="2">
        <v>976</v>
      </c>
      <c r="B977" s="4">
        <f>YEAR(G977)</f>
        <v>2023</v>
      </c>
      <c r="C977" s="4">
        <f>MONTH(G977)</f>
        <v>10</v>
      </c>
      <c r="D977" s="4">
        <f>DAY(G977)</f>
        <v>10</v>
      </c>
      <c r="E977" s="4" t="str">
        <f>TEXT(G977, "mmmm")</f>
        <v>October</v>
      </c>
      <c r="F977" s="4" t="str">
        <f>TEXT(G977, "dddd")</f>
        <v>Tuesday</v>
      </c>
      <c r="G977" s="3">
        <v>45209</v>
      </c>
      <c r="H977" s="4" t="s">
        <v>1003</v>
      </c>
      <c r="I977" s="4" t="s">
        <v>20</v>
      </c>
      <c r="J977" s="4">
        <v>48</v>
      </c>
      <c r="K977" s="4" t="str" cm="1">
        <f t="array" ref="K977">_xlfn.IFS(J977&lt;30, "Young Adult", J977&lt;50, "Adult", J977&gt;=50, "Senior")</f>
        <v>Adult</v>
      </c>
      <c r="L977" s="4" t="s">
        <v>17</v>
      </c>
      <c r="M977" s="4">
        <v>2</v>
      </c>
      <c r="N977" s="5">
        <v>300</v>
      </c>
      <c r="O977">
        <f>M977*N977</f>
        <v>600</v>
      </c>
      <c r="P977" s="14">
        <f>O977*$S$3</f>
        <v>9</v>
      </c>
    </row>
    <row r="978" spans="1:16">
      <c r="A978" s="2">
        <v>977</v>
      </c>
      <c r="B978" s="4">
        <f>YEAR(G978)</f>
        <v>2023</v>
      </c>
      <c r="C978" s="4">
        <f>MONTH(G978)</f>
        <v>2</v>
      </c>
      <c r="D978" s="4">
        <f>DAY(G978)</f>
        <v>8</v>
      </c>
      <c r="E978" s="4" t="str">
        <f>TEXT(G978, "mmmm")</f>
        <v>February</v>
      </c>
      <c r="F978" s="4" t="str">
        <f>TEXT(G978, "dddd")</f>
        <v>Wednesday</v>
      </c>
      <c r="G978" s="3">
        <v>44965</v>
      </c>
      <c r="H978" s="4" t="s">
        <v>1004</v>
      </c>
      <c r="I978" s="4" t="s">
        <v>20</v>
      </c>
      <c r="J978" s="4">
        <v>35</v>
      </c>
      <c r="K978" s="4" t="str" cm="1">
        <f t="array" ref="K978">_xlfn.IFS(J978&lt;30, "Young Adult", J978&lt;50, "Adult", J978&gt;=50, "Senior")</f>
        <v>Adult</v>
      </c>
      <c r="L978" s="4" t="s">
        <v>24</v>
      </c>
      <c r="M978" s="4">
        <v>3</v>
      </c>
      <c r="N978" s="5">
        <v>25</v>
      </c>
      <c r="O978">
        <f>M978*N978</f>
        <v>75</v>
      </c>
      <c r="P978" s="14">
        <f>O978*$S$3</f>
        <v>1.125</v>
      </c>
    </row>
    <row r="979" spans="1:16">
      <c r="A979" s="2">
        <v>978</v>
      </c>
      <c r="B979" s="4">
        <f>YEAR(G979)</f>
        <v>2023</v>
      </c>
      <c r="C979" s="4">
        <f>MONTH(G979)</f>
        <v>3</v>
      </c>
      <c r="D979" s="4">
        <f>DAY(G979)</f>
        <v>22</v>
      </c>
      <c r="E979" s="4" t="str">
        <f>TEXT(G979, "mmmm")</f>
        <v>March</v>
      </c>
      <c r="F979" s="4" t="str">
        <f>TEXT(G979, "dddd")</f>
        <v>Wednesday</v>
      </c>
      <c r="G979" s="3">
        <v>45007</v>
      </c>
      <c r="H979" s="4" t="s">
        <v>1005</v>
      </c>
      <c r="I979" s="4" t="s">
        <v>20</v>
      </c>
      <c r="J979" s="4">
        <v>53</v>
      </c>
      <c r="K979" s="4" t="str" cm="1">
        <f t="array" ref="K979">_xlfn.IFS(J979&lt;30, "Young Adult", J979&lt;50, "Adult", J979&gt;=50, "Senior")</f>
        <v>Senior</v>
      </c>
      <c r="L979" s="4" t="s">
        <v>21</v>
      </c>
      <c r="M979" s="4">
        <v>3</v>
      </c>
      <c r="N979" s="5">
        <v>50</v>
      </c>
      <c r="O979">
        <f>M979*N979</f>
        <v>150</v>
      </c>
      <c r="P979" s="14">
        <f>O979*$S$3</f>
        <v>2.25</v>
      </c>
    </row>
    <row r="980" spans="1:16">
      <c r="A980" s="2">
        <v>979</v>
      </c>
      <c r="B980" s="4">
        <f>YEAR(G980)</f>
        <v>2023</v>
      </c>
      <c r="C980" s="4">
        <f>MONTH(G980)</f>
        <v>1</v>
      </c>
      <c r="D980" s="4">
        <f>DAY(G980)</f>
        <v>2</v>
      </c>
      <c r="E980" s="4" t="str">
        <f>TEXT(G980, "mmmm")</f>
        <v>January</v>
      </c>
      <c r="F980" s="4" t="str">
        <f>TEXT(G980, "dddd")</f>
        <v>Monday</v>
      </c>
      <c r="G980" s="3">
        <v>44928</v>
      </c>
      <c r="H980" s="4" t="s">
        <v>1006</v>
      </c>
      <c r="I980" s="4" t="s">
        <v>20</v>
      </c>
      <c r="J980" s="4">
        <v>19</v>
      </c>
      <c r="K980" s="4" t="str" cm="1">
        <f t="array" ref="K980">_xlfn.IFS(J980&lt;30, "Young Adult", J980&lt;50, "Adult", J980&gt;=50, "Senior")</f>
        <v>Young Adult</v>
      </c>
      <c r="L980" s="4" t="s">
        <v>17</v>
      </c>
      <c r="M980" s="4">
        <v>1</v>
      </c>
      <c r="N980" s="5">
        <v>25</v>
      </c>
      <c r="O980">
        <f>M980*N980</f>
        <v>25</v>
      </c>
      <c r="P980" s="14">
        <f>O980*$S$3</f>
        <v>0.375</v>
      </c>
    </row>
    <row r="981" spans="1:16">
      <c r="A981" s="2">
        <v>980</v>
      </c>
      <c r="B981" s="4">
        <f>YEAR(G981)</f>
        <v>2023</v>
      </c>
      <c r="C981" s="4">
        <f>MONTH(G981)</f>
        <v>7</v>
      </c>
      <c r="D981" s="4">
        <f>DAY(G981)</f>
        <v>29</v>
      </c>
      <c r="E981" s="4" t="str">
        <f>TEXT(G981, "mmmm")</f>
        <v>July</v>
      </c>
      <c r="F981" s="4" t="str">
        <f>TEXT(G981, "dddd")</f>
        <v>Saturday</v>
      </c>
      <c r="G981" s="3">
        <v>45136</v>
      </c>
      <c r="H981" s="4" t="s">
        <v>1007</v>
      </c>
      <c r="I981" s="4" t="s">
        <v>20</v>
      </c>
      <c r="J981" s="4">
        <v>31</v>
      </c>
      <c r="K981" s="4" t="str" cm="1">
        <f t="array" ref="K981">_xlfn.IFS(J981&lt;30, "Young Adult", J981&lt;50, "Adult", J981&gt;=50, "Senior")</f>
        <v>Adult</v>
      </c>
      <c r="L981" s="4" t="s">
        <v>24</v>
      </c>
      <c r="M981" s="4">
        <v>3</v>
      </c>
      <c r="N981" s="5">
        <v>25</v>
      </c>
      <c r="O981">
        <f>M981*N981</f>
        <v>75</v>
      </c>
      <c r="P981" s="14">
        <f>O981*$S$3</f>
        <v>1.125</v>
      </c>
    </row>
    <row r="982" spans="1:16">
      <c r="A982" s="2">
        <v>981</v>
      </c>
      <c r="B982" s="4">
        <f>YEAR(G982)</f>
        <v>2023</v>
      </c>
      <c r="C982" s="4">
        <f>MONTH(G982)</f>
        <v>8</v>
      </c>
      <c r="D982" s="4">
        <f>DAY(G982)</f>
        <v>19</v>
      </c>
      <c r="E982" s="4" t="str">
        <f>TEXT(G982, "mmmm")</f>
        <v>August</v>
      </c>
      <c r="F982" s="4" t="str">
        <f>TEXT(G982, "dddd")</f>
        <v>Saturday</v>
      </c>
      <c r="G982" s="3">
        <v>45157</v>
      </c>
      <c r="H982" s="4" t="s">
        <v>1008</v>
      </c>
      <c r="I982" s="4" t="s">
        <v>20</v>
      </c>
      <c r="J982" s="4">
        <v>30</v>
      </c>
      <c r="K982" s="4" t="str" cm="1">
        <f t="array" ref="K982">_xlfn.IFS(J982&lt;30, "Young Adult", J982&lt;50, "Adult", J982&gt;=50, "Senior")</f>
        <v>Adult</v>
      </c>
      <c r="L982" s="4" t="s">
        <v>24</v>
      </c>
      <c r="M982" s="4">
        <v>2</v>
      </c>
      <c r="N982" s="5">
        <v>30</v>
      </c>
      <c r="O982">
        <f>M982*N982</f>
        <v>60</v>
      </c>
      <c r="P982" s="14">
        <f>O982*$S$3</f>
        <v>0.89999999999999991</v>
      </c>
    </row>
    <row r="983" spans="1:16">
      <c r="A983" s="2">
        <v>982</v>
      </c>
      <c r="B983" s="4">
        <f>YEAR(G983)</f>
        <v>2023</v>
      </c>
      <c r="C983" s="4">
        <f>MONTH(G983)</f>
        <v>12</v>
      </c>
      <c r="D983" s="4">
        <f>DAY(G983)</f>
        <v>19</v>
      </c>
      <c r="E983" s="4" t="str">
        <f>TEXT(G983, "mmmm")</f>
        <v>December</v>
      </c>
      <c r="F983" s="4" t="str">
        <f>TEXT(G983, "dddd")</f>
        <v>Tuesday</v>
      </c>
      <c r="G983" s="3">
        <v>45279</v>
      </c>
      <c r="H983" s="4" t="s">
        <v>1009</v>
      </c>
      <c r="I983" s="4" t="s">
        <v>20</v>
      </c>
      <c r="J983" s="4">
        <v>46</v>
      </c>
      <c r="K983" s="4" t="str" cm="1">
        <f t="array" ref="K983">_xlfn.IFS(J983&lt;30, "Young Adult", J983&lt;50, "Adult", J983&gt;=50, "Senior")</f>
        <v>Adult</v>
      </c>
      <c r="L983" s="4" t="s">
        <v>17</v>
      </c>
      <c r="M983" s="4">
        <v>3</v>
      </c>
      <c r="N983" s="5">
        <v>30</v>
      </c>
      <c r="O983">
        <f>M983*N983</f>
        <v>90</v>
      </c>
      <c r="P983" s="14">
        <f>O983*$S$3</f>
        <v>1.3499999999999999</v>
      </c>
    </row>
    <row r="984" spans="1:16">
      <c r="A984" s="2">
        <v>983</v>
      </c>
      <c r="B984" s="4">
        <f>YEAR(G984)</f>
        <v>2023</v>
      </c>
      <c r="C984" s="4">
        <f>MONTH(G984)</f>
        <v>11</v>
      </c>
      <c r="D984" s="4">
        <f>DAY(G984)</f>
        <v>1</v>
      </c>
      <c r="E984" s="4" t="str">
        <f>TEXT(G984, "mmmm")</f>
        <v>November</v>
      </c>
      <c r="F984" s="4" t="str">
        <f>TEXT(G984, "dddd")</f>
        <v>Wednesday</v>
      </c>
      <c r="G984" s="3">
        <v>45231</v>
      </c>
      <c r="H984" s="4" t="s">
        <v>1010</v>
      </c>
      <c r="I984" s="4" t="s">
        <v>20</v>
      </c>
      <c r="J984" s="4">
        <v>29</v>
      </c>
      <c r="K984" s="4" t="str" cm="1">
        <f t="array" ref="K984">_xlfn.IFS(J984&lt;30, "Young Adult", J984&lt;50, "Adult", J984&gt;=50, "Senior")</f>
        <v>Young Adult</v>
      </c>
      <c r="L984" s="4" t="s">
        <v>21</v>
      </c>
      <c r="M984" s="4">
        <v>1</v>
      </c>
      <c r="N984" s="5">
        <v>300</v>
      </c>
      <c r="O984">
        <f>M984*N984</f>
        <v>300</v>
      </c>
      <c r="P984" s="14">
        <f>O984*$S$3</f>
        <v>4.5</v>
      </c>
    </row>
    <row r="985" spans="1:16">
      <c r="A985" s="2">
        <v>984</v>
      </c>
      <c r="B985" s="4">
        <f>YEAR(G985)</f>
        <v>2023</v>
      </c>
      <c r="C985" s="4">
        <f>MONTH(G985)</f>
        <v>8</v>
      </c>
      <c r="D985" s="4">
        <f>DAY(G985)</f>
        <v>29</v>
      </c>
      <c r="E985" s="4" t="str">
        <f>TEXT(G985, "mmmm")</f>
        <v>August</v>
      </c>
      <c r="F985" s="4" t="str">
        <f>TEXT(G985, "dddd")</f>
        <v>Tuesday</v>
      </c>
      <c r="G985" s="3">
        <v>45167</v>
      </c>
      <c r="H985" s="4" t="s">
        <v>1011</v>
      </c>
      <c r="I985" s="4" t="s">
        <v>16</v>
      </c>
      <c r="J985" s="4">
        <v>56</v>
      </c>
      <c r="K985" s="4" t="str" cm="1">
        <f t="array" ref="K985">_xlfn.IFS(J985&lt;30, "Young Adult", J985&lt;50, "Adult", J985&gt;=50, "Senior")</f>
        <v>Senior</v>
      </c>
      <c r="L985" s="4" t="s">
        <v>21</v>
      </c>
      <c r="M985" s="4">
        <v>1</v>
      </c>
      <c r="N985" s="5">
        <v>500</v>
      </c>
      <c r="O985">
        <f>M985*N985</f>
        <v>500</v>
      </c>
      <c r="P985" s="14">
        <f>O985*$S$3</f>
        <v>7.5</v>
      </c>
    </row>
    <row r="986" spans="1:16">
      <c r="A986" s="2">
        <v>985</v>
      </c>
      <c r="B986" s="4">
        <f>YEAR(G986)</f>
        <v>2023</v>
      </c>
      <c r="C986" s="4">
        <f>MONTH(G986)</f>
        <v>5</v>
      </c>
      <c r="D986" s="4">
        <f>DAY(G986)</f>
        <v>30</v>
      </c>
      <c r="E986" s="4" t="str">
        <f>TEXT(G986, "mmmm")</f>
        <v>May</v>
      </c>
      <c r="F986" s="4" t="str">
        <f>TEXT(G986, "dddd")</f>
        <v>Tuesday</v>
      </c>
      <c r="G986" s="3">
        <v>45076</v>
      </c>
      <c r="H986" s="4" t="s">
        <v>1012</v>
      </c>
      <c r="I986" s="4" t="s">
        <v>20</v>
      </c>
      <c r="J986" s="4">
        <v>19</v>
      </c>
      <c r="K986" s="4" t="str" cm="1">
        <f t="array" ref="K986">_xlfn.IFS(J986&lt;30, "Young Adult", J986&lt;50, "Adult", J986&gt;=50, "Senior")</f>
        <v>Young Adult</v>
      </c>
      <c r="L986" s="4" t="s">
        <v>24</v>
      </c>
      <c r="M986" s="4">
        <v>2</v>
      </c>
      <c r="N986" s="5">
        <v>25</v>
      </c>
      <c r="O986">
        <f>M986*N986</f>
        <v>50</v>
      </c>
      <c r="P986" s="14">
        <f>O986*$S$3</f>
        <v>0.75</v>
      </c>
    </row>
    <row r="987" spans="1:16">
      <c r="A987" s="2">
        <v>986</v>
      </c>
      <c r="B987" s="4">
        <f>YEAR(G987)</f>
        <v>2023</v>
      </c>
      <c r="C987" s="4">
        <f>MONTH(G987)</f>
        <v>1</v>
      </c>
      <c r="D987" s="4">
        <f>DAY(G987)</f>
        <v>17</v>
      </c>
      <c r="E987" s="4" t="str">
        <f>TEXT(G987, "mmmm")</f>
        <v>January</v>
      </c>
      <c r="F987" s="4" t="str">
        <f>TEXT(G987, "dddd")</f>
        <v>Tuesday</v>
      </c>
      <c r="G987" s="3">
        <v>44943</v>
      </c>
      <c r="H987" s="4" t="s">
        <v>1013</v>
      </c>
      <c r="I987" s="4" t="s">
        <v>20</v>
      </c>
      <c r="J987" s="4">
        <v>49</v>
      </c>
      <c r="K987" s="4" t="str" cm="1">
        <f t="array" ref="K987">_xlfn.IFS(J987&lt;30, "Young Adult", J987&lt;50, "Adult", J987&gt;=50, "Senior")</f>
        <v>Adult</v>
      </c>
      <c r="L987" s="4" t="s">
        <v>21</v>
      </c>
      <c r="M987" s="4">
        <v>2</v>
      </c>
      <c r="N987" s="5">
        <v>500</v>
      </c>
      <c r="O987">
        <f>M987*N987</f>
        <v>1000</v>
      </c>
      <c r="P987" s="14">
        <f>O987*$S$3</f>
        <v>15</v>
      </c>
    </row>
    <row r="988" spans="1:16">
      <c r="A988" s="2">
        <v>987</v>
      </c>
      <c r="B988" s="4">
        <f>YEAR(G988)</f>
        <v>2023</v>
      </c>
      <c r="C988" s="4">
        <f>MONTH(G988)</f>
        <v>4</v>
      </c>
      <c r="D988" s="4">
        <f>DAY(G988)</f>
        <v>29</v>
      </c>
      <c r="E988" s="4" t="str">
        <f>TEXT(G988, "mmmm")</f>
        <v>April</v>
      </c>
      <c r="F988" s="4" t="str">
        <f>TEXT(G988, "dddd")</f>
        <v>Saturday</v>
      </c>
      <c r="G988" s="3">
        <v>45045</v>
      </c>
      <c r="H988" s="4" t="s">
        <v>1014</v>
      </c>
      <c r="I988" s="4" t="s">
        <v>20</v>
      </c>
      <c r="J988" s="4">
        <v>30</v>
      </c>
      <c r="K988" s="4" t="str" cm="1">
        <f t="array" ref="K988">_xlfn.IFS(J988&lt;30, "Young Adult", J988&lt;50, "Adult", J988&gt;=50, "Senior")</f>
        <v>Adult</v>
      </c>
      <c r="L988" s="4" t="s">
        <v>21</v>
      </c>
      <c r="M988" s="4">
        <v>3</v>
      </c>
      <c r="N988" s="5">
        <v>300</v>
      </c>
      <c r="O988">
        <f>M988*N988</f>
        <v>900</v>
      </c>
      <c r="P988" s="14">
        <f>O988*$S$3</f>
        <v>13.5</v>
      </c>
    </row>
    <row r="989" spans="1:16">
      <c r="A989" s="2">
        <v>988</v>
      </c>
      <c r="B989" s="4">
        <f>YEAR(G989)</f>
        <v>2023</v>
      </c>
      <c r="C989" s="4">
        <f>MONTH(G989)</f>
        <v>5</v>
      </c>
      <c r="D989" s="4">
        <f>DAY(G989)</f>
        <v>28</v>
      </c>
      <c r="E989" s="4" t="str">
        <f>TEXT(G989, "mmmm")</f>
        <v>May</v>
      </c>
      <c r="F989" s="4" t="str">
        <f>TEXT(G989, "dddd")</f>
        <v>Sunday</v>
      </c>
      <c r="G989" s="3">
        <v>45074</v>
      </c>
      <c r="H989" s="4" t="s">
        <v>1015</v>
      </c>
      <c r="I989" s="4" t="s">
        <v>20</v>
      </c>
      <c r="J989" s="4">
        <v>63</v>
      </c>
      <c r="K989" s="4" t="str" cm="1">
        <f t="array" ref="K989">_xlfn.IFS(J989&lt;30, "Young Adult", J989&lt;50, "Adult", J989&gt;=50, "Senior")</f>
        <v>Senior</v>
      </c>
      <c r="L989" s="4" t="s">
        <v>21</v>
      </c>
      <c r="M989" s="4">
        <v>3</v>
      </c>
      <c r="N989" s="5">
        <v>25</v>
      </c>
      <c r="O989">
        <f>M989*N989</f>
        <v>75</v>
      </c>
      <c r="P989" s="14">
        <f>O989*$S$3</f>
        <v>1.125</v>
      </c>
    </row>
    <row r="990" spans="1:16">
      <c r="A990" s="2">
        <v>989</v>
      </c>
      <c r="B990" s="4">
        <f>YEAR(G990)</f>
        <v>2023</v>
      </c>
      <c r="C990" s="4">
        <f>MONTH(G990)</f>
        <v>12</v>
      </c>
      <c r="D990" s="4">
        <f>DAY(G990)</f>
        <v>28</v>
      </c>
      <c r="E990" s="4" t="str">
        <f>TEXT(G990, "mmmm")</f>
        <v>December</v>
      </c>
      <c r="F990" s="4" t="str">
        <f>TEXT(G990, "dddd")</f>
        <v>Thursday</v>
      </c>
      <c r="G990" s="3">
        <v>45288</v>
      </c>
      <c r="H990" s="4" t="s">
        <v>1016</v>
      </c>
      <c r="I990" s="4" t="s">
        <v>20</v>
      </c>
      <c r="J990" s="4">
        <v>44</v>
      </c>
      <c r="K990" s="4" t="str" cm="1">
        <f t="array" ref="K990">_xlfn.IFS(J990&lt;30, "Young Adult", J990&lt;50, "Adult", J990&gt;=50, "Senior")</f>
        <v>Adult</v>
      </c>
      <c r="L990" s="4" t="s">
        <v>24</v>
      </c>
      <c r="M990" s="4">
        <v>1</v>
      </c>
      <c r="N990" s="5">
        <v>25</v>
      </c>
      <c r="O990">
        <f>M990*N990</f>
        <v>25</v>
      </c>
      <c r="P990" s="14">
        <f>O990*$S$3</f>
        <v>0.375</v>
      </c>
    </row>
    <row r="991" spans="1:16">
      <c r="A991" s="2">
        <v>990</v>
      </c>
      <c r="B991" s="4">
        <f>YEAR(G991)</f>
        <v>2023</v>
      </c>
      <c r="C991" s="4">
        <f>MONTH(G991)</f>
        <v>5</v>
      </c>
      <c r="D991" s="4">
        <f>DAY(G991)</f>
        <v>25</v>
      </c>
      <c r="E991" s="4" t="str">
        <f>TEXT(G991, "mmmm")</f>
        <v>May</v>
      </c>
      <c r="F991" s="4" t="str">
        <f>TEXT(G991, "dddd")</f>
        <v>Thursday</v>
      </c>
      <c r="G991" s="3">
        <v>45071</v>
      </c>
      <c r="H991" s="4" t="s">
        <v>1017</v>
      </c>
      <c r="I991" s="4" t="s">
        <v>20</v>
      </c>
      <c r="J991" s="4">
        <v>58</v>
      </c>
      <c r="K991" s="4" t="str" cm="1">
        <f t="array" ref="K991">_xlfn.IFS(J991&lt;30, "Young Adult", J991&lt;50, "Adult", J991&gt;=50, "Senior")</f>
        <v>Senior</v>
      </c>
      <c r="L991" s="4" t="s">
        <v>17</v>
      </c>
      <c r="M991" s="4">
        <v>2</v>
      </c>
      <c r="N991" s="5">
        <v>500</v>
      </c>
      <c r="O991">
        <f>M991*N991</f>
        <v>1000</v>
      </c>
      <c r="P991" s="14">
        <f>O991*$S$3</f>
        <v>15</v>
      </c>
    </row>
    <row r="992" spans="1:16">
      <c r="A992" s="2">
        <v>991</v>
      </c>
      <c r="B992" s="4">
        <f>YEAR(G992)</f>
        <v>2023</v>
      </c>
      <c r="C992" s="4">
        <f>MONTH(G992)</f>
        <v>12</v>
      </c>
      <c r="D992" s="4">
        <f>DAY(G992)</f>
        <v>26</v>
      </c>
      <c r="E992" s="4" t="str">
        <f>TEXT(G992, "mmmm")</f>
        <v>December</v>
      </c>
      <c r="F992" s="4" t="str">
        <f>TEXT(G992, "dddd")</f>
        <v>Tuesday</v>
      </c>
      <c r="G992" s="3">
        <v>45286</v>
      </c>
      <c r="H992" s="4" t="s">
        <v>1018</v>
      </c>
      <c r="I992" s="4" t="s">
        <v>20</v>
      </c>
      <c r="J992" s="4">
        <v>34</v>
      </c>
      <c r="K992" s="4" t="str" cm="1">
        <f t="array" ref="K992">_xlfn.IFS(J992&lt;30, "Young Adult", J992&lt;50, "Adult", J992&gt;=50, "Senior")</f>
        <v>Adult</v>
      </c>
      <c r="L992" s="4" t="s">
        <v>21</v>
      </c>
      <c r="M992" s="4">
        <v>2</v>
      </c>
      <c r="N992" s="5">
        <v>50</v>
      </c>
      <c r="O992">
        <f>M992*N992</f>
        <v>100</v>
      </c>
      <c r="P992" s="14">
        <f>O992*$S$3</f>
        <v>1.5</v>
      </c>
    </row>
    <row r="993" spans="1:16">
      <c r="A993" s="2">
        <v>992</v>
      </c>
      <c r="B993" s="4">
        <f>YEAR(G993)</f>
        <v>2023</v>
      </c>
      <c r="C993" s="4">
        <f>MONTH(G993)</f>
        <v>8</v>
      </c>
      <c r="D993" s="4">
        <f>DAY(G993)</f>
        <v>21</v>
      </c>
      <c r="E993" s="4" t="str">
        <f>TEXT(G993, "mmmm")</f>
        <v>August</v>
      </c>
      <c r="F993" s="4" t="str">
        <f>TEXT(G993, "dddd")</f>
        <v>Monday</v>
      </c>
      <c r="G993" s="3">
        <v>45159</v>
      </c>
      <c r="H993" s="4" t="s">
        <v>1019</v>
      </c>
      <c r="I993" s="4" t="s">
        <v>20</v>
      </c>
      <c r="J993" s="4">
        <v>57</v>
      </c>
      <c r="K993" s="4" t="str" cm="1">
        <f t="array" ref="K993">_xlfn.IFS(J993&lt;30, "Young Adult", J993&lt;50, "Adult", J993&gt;=50, "Senior")</f>
        <v>Senior</v>
      </c>
      <c r="L993" s="4" t="s">
        <v>24</v>
      </c>
      <c r="M993" s="4">
        <v>2</v>
      </c>
      <c r="N993" s="5">
        <v>30</v>
      </c>
      <c r="O993">
        <f>M993*N993</f>
        <v>60</v>
      </c>
      <c r="P993" s="14">
        <f>O993*$S$3</f>
        <v>0.89999999999999991</v>
      </c>
    </row>
    <row r="994" spans="1:16">
      <c r="A994" s="2">
        <v>993</v>
      </c>
      <c r="B994" s="4">
        <f>YEAR(G994)</f>
        <v>2023</v>
      </c>
      <c r="C994" s="4">
        <f>MONTH(G994)</f>
        <v>2</v>
      </c>
      <c r="D994" s="4">
        <f>DAY(G994)</f>
        <v>6</v>
      </c>
      <c r="E994" s="4" t="str">
        <f>TEXT(G994, "mmmm")</f>
        <v>February</v>
      </c>
      <c r="F994" s="4" t="str">
        <f>TEXT(G994, "dddd")</f>
        <v>Monday</v>
      </c>
      <c r="G994" s="3">
        <v>44963</v>
      </c>
      <c r="H994" s="4" t="s">
        <v>1020</v>
      </c>
      <c r="I994" s="4" t="s">
        <v>20</v>
      </c>
      <c r="J994" s="4">
        <v>48</v>
      </c>
      <c r="K994" s="4" t="str" cm="1">
        <f t="array" ref="K994">_xlfn.IFS(J994&lt;30, "Young Adult", J994&lt;50, "Adult", J994&gt;=50, "Senior")</f>
        <v>Adult</v>
      </c>
      <c r="L994" s="4" t="s">
        <v>24</v>
      </c>
      <c r="M994" s="4">
        <v>3</v>
      </c>
      <c r="N994" s="5">
        <v>50</v>
      </c>
      <c r="O994">
        <f>M994*N994</f>
        <v>150</v>
      </c>
      <c r="P994" s="14">
        <f>O994*$S$3</f>
        <v>2.25</v>
      </c>
    </row>
    <row r="995" spans="1:16">
      <c r="A995" s="2">
        <v>994</v>
      </c>
      <c r="B995" s="4">
        <f>YEAR(G995)</f>
        <v>2023</v>
      </c>
      <c r="C995" s="4">
        <f>MONTH(G995)</f>
        <v>12</v>
      </c>
      <c r="D995" s="4">
        <f>DAY(G995)</f>
        <v>18</v>
      </c>
      <c r="E995" s="4" t="str">
        <f>TEXT(G995, "mmmm")</f>
        <v>December</v>
      </c>
      <c r="F995" s="4" t="str">
        <f>TEXT(G995, "dddd")</f>
        <v>Monday</v>
      </c>
      <c r="G995" s="3">
        <v>45278</v>
      </c>
      <c r="H995" s="4" t="s">
        <v>1021</v>
      </c>
      <c r="I995" s="4" t="s">
        <v>20</v>
      </c>
      <c r="J995" s="4">
        <v>51</v>
      </c>
      <c r="K995" s="4" t="str" cm="1">
        <f t="array" ref="K995">_xlfn.IFS(J995&lt;30, "Young Adult", J995&lt;50, "Adult", J995&gt;=50, "Senior")</f>
        <v>Senior</v>
      </c>
      <c r="L995" s="4" t="s">
        <v>17</v>
      </c>
      <c r="M995" s="4">
        <v>2</v>
      </c>
      <c r="N995" s="5">
        <v>500</v>
      </c>
      <c r="O995">
        <f>M995*N995</f>
        <v>1000</v>
      </c>
      <c r="P995" s="14">
        <f>O995*$S$3</f>
        <v>15</v>
      </c>
    </row>
    <row r="996" spans="1:16">
      <c r="A996" s="2">
        <v>995</v>
      </c>
      <c r="B996" s="4">
        <f>YEAR(G996)</f>
        <v>2023</v>
      </c>
      <c r="C996" s="4">
        <f>MONTH(G996)</f>
        <v>4</v>
      </c>
      <c r="D996" s="4">
        <f>DAY(G996)</f>
        <v>30</v>
      </c>
      <c r="E996" s="4" t="str">
        <f>TEXT(G996, "mmmm")</f>
        <v>April</v>
      </c>
      <c r="F996" s="4" t="str">
        <f>TEXT(G996, "dddd")</f>
        <v>Sunday</v>
      </c>
      <c r="G996" s="3">
        <v>45046</v>
      </c>
      <c r="H996" s="4" t="s">
        <v>1022</v>
      </c>
      <c r="I996" s="4" t="s">
        <v>20</v>
      </c>
      <c r="J996" s="4">
        <v>41</v>
      </c>
      <c r="K996" s="4" t="str" cm="1">
        <f t="array" ref="K996">_xlfn.IFS(J996&lt;30, "Young Adult", J996&lt;50, "Adult", J996&gt;=50, "Senior")</f>
        <v>Adult</v>
      </c>
      <c r="L996" s="4" t="s">
        <v>21</v>
      </c>
      <c r="M996" s="4">
        <v>1</v>
      </c>
      <c r="N996" s="5">
        <v>30</v>
      </c>
      <c r="O996">
        <f>M996*N996</f>
        <v>30</v>
      </c>
      <c r="P996" s="14">
        <f>O996*$S$3</f>
        <v>0.44999999999999996</v>
      </c>
    </row>
    <row r="997" spans="1:16">
      <c r="A997" s="2">
        <v>996</v>
      </c>
      <c r="B997" s="4">
        <f>YEAR(G997)</f>
        <v>2023</v>
      </c>
      <c r="C997" s="4">
        <f>MONTH(G997)</f>
        <v>5</v>
      </c>
      <c r="D997" s="4">
        <f>DAY(G997)</f>
        <v>16</v>
      </c>
      <c r="E997" s="4" t="str">
        <f>TEXT(G997, "mmmm")</f>
        <v>May</v>
      </c>
      <c r="F997" s="4" t="str">
        <f>TEXT(G997, "dddd")</f>
        <v>Tuesday</v>
      </c>
      <c r="G997" s="3">
        <v>45062</v>
      </c>
      <c r="H997" s="4" t="s">
        <v>1023</v>
      </c>
      <c r="I997" s="4" t="s">
        <v>16</v>
      </c>
      <c r="J997" s="4">
        <v>62</v>
      </c>
      <c r="K997" s="4" t="str" cm="1">
        <f t="array" ref="K997">_xlfn.IFS(J997&lt;30, "Young Adult", J997&lt;50, "Adult", J997&gt;=50, "Senior")</f>
        <v>Senior</v>
      </c>
      <c r="L997" s="4" t="s">
        <v>21</v>
      </c>
      <c r="M997" s="4">
        <v>1</v>
      </c>
      <c r="N997" s="5">
        <v>50</v>
      </c>
      <c r="O997">
        <f>M997*N997</f>
        <v>50</v>
      </c>
      <c r="P997" s="14">
        <f>O997*$S$3</f>
        <v>0.75</v>
      </c>
    </row>
    <row r="998" spans="1:16">
      <c r="A998" s="2">
        <v>997</v>
      </c>
      <c r="B998" s="4">
        <f>YEAR(G998)</f>
        <v>2023</v>
      </c>
      <c r="C998" s="4">
        <f>MONTH(G998)</f>
        <v>11</v>
      </c>
      <c r="D998" s="4">
        <f>DAY(G998)</f>
        <v>17</v>
      </c>
      <c r="E998" s="4" t="str">
        <f>TEXT(G998, "mmmm")</f>
        <v>November</v>
      </c>
      <c r="F998" s="4" t="str">
        <f>TEXT(G998, "dddd")</f>
        <v>Friday</v>
      </c>
      <c r="G998" s="3">
        <v>45247</v>
      </c>
      <c r="H998" s="4" t="s">
        <v>1024</v>
      </c>
      <c r="I998" s="4" t="s">
        <v>16</v>
      </c>
      <c r="J998" s="4">
        <v>52</v>
      </c>
      <c r="K998" s="4" t="str" cm="1">
        <f t="array" ref="K998">_xlfn.IFS(J998&lt;30, "Young Adult", J998&lt;50, "Adult", J998&gt;=50, "Senior")</f>
        <v>Senior</v>
      </c>
      <c r="L998" s="4" t="s">
        <v>17</v>
      </c>
      <c r="M998" s="4">
        <v>3</v>
      </c>
      <c r="N998" s="5">
        <v>30</v>
      </c>
      <c r="O998">
        <f>M998*N998</f>
        <v>90</v>
      </c>
      <c r="P998" s="14">
        <f>O998*$S$3</f>
        <v>1.3499999999999999</v>
      </c>
    </row>
    <row r="999" spans="1:16">
      <c r="A999" s="2">
        <v>998</v>
      </c>
      <c r="B999" s="4">
        <f>YEAR(G999)</f>
        <v>2023</v>
      </c>
      <c r="C999" s="4">
        <f>MONTH(G999)</f>
        <v>10</v>
      </c>
      <c r="D999" s="4">
        <f>DAY(G999)</f>
        <v>29</v>
      </c>
      <c r="E999" s="4" t="str">
        <f>TEXT(G999, "mmmm")</f>
        <v>October</v>
      </c>
      <c r="F999" s="4" t="str">
        <f>TEXT(G999, "dddd")</f>
        <v>Sunday</v>
      </c>
      <c r="G999" s="3">
        <v>45228</v>
      </c>
      <c r="H999" s="4" t="s">
        <v>1025</v>
      </c>
      <c r="I999" s="4" t="s">
        <v>20</v>
      </c>
      <c r="J999" s="4">
        <v>23</v>
      </c>
      <c r="K999" s="4" t="str" cm="1">
        <f t="array" ref="K999">_xlfn.IFS(J999&lt;30, "Young Adult", J999&lt;50, "Adult", J999&gt;=50, "Senior")</f>
        <v>Young Adult</v>
      </c>
      <c r="L999" s="4" t="s">
        <v>17</v>
      </c>
      <c r="M999" s="4">
        <v>4</v>
      </c>
      <c r="N999" s="5">
        <v>25</v>
      </c>
      <c r="O999">
        <f>M999*N999</f>
        <v>100</v>
      </c>
      <c r="P999" s="14">
        <f>O999*$S$3</f>
        <v>1.5</v>
      </c>
    </row>
    <row r="1000" spans="1:16">
      <c r="A1000" s="2">
        <v>999</v>
      </c>
      <c r="B1000" s="4">
        <f>YEAR(G1000)</f>
        <v>2023</v>
      </c>
      <c r="C1000" s="4">
        <f>MONTH(G1000)</f>
        <v>12</v>
      </c>
      <c r="D1000" s="4">
        <f>DAY(G1000)</f>
        <v>5</v>
      </c>
      <c r="E1000" s="4" t="str">
        <f>TEXT(G1000, "mmmm")</f>
        <v>December</v>
      </c>
      <c r="F1000" s="4" t="str">
        <f>TEXT(G1000, "dddd")</f>
        <v>Tuesday</v>
      </c>
      <c r="G1000" s="3">
        <v>45265</v>
      </c>
      <c r="H1000" s="4" t="s">
        <v>1026</v>
      </c>
      <c r="I1000" s="4" t="s">
        <v>20</v>
      </c>
      <c r="J1000" s="4">
        <v>36</v>
      </c>
      <c r="K1000" s="4" t="str" cm="1">
        <f t="array" ref="K1000">_xlfn.IFS(J1000&lt;30, "Young Adult", J1000&lt;50, "Adult", J1000&gt;=50, "Senior")</f>
        <v>Adult</v>
      </c>
      <c r="L1000" s="4" t="s">
        <v>24</v>
      </c>
      <c r="M1000" s="4">
        <v>3</v>
      </c>
      <c r="N1000" s="5">
        <v>50</v>
      </c>
      <c r="O1000">
        <f>M1000*N1000</f>
        <v>150</v>
      </c>
      <c r="P1000" s="14">
        <f>O1000*$S$3</f>
        <v>2.25</v>
      </c>
    </row>
    <row r="1001" spans="1:16">
      <c r="A1001" s="6">
        <v>1000</v>
      </c>
      <c r="B1001" s="4">
        <f>YEAR(G1001)</f>
        <v>2023</v>
      </c>
      <c r="C1001" s="4">
        <f>MONTH(G1001)</f>
        <v>4</v>
      </c>
      <c r="D1001" s="4">
        <f>DAY(G1001)</f>
        <v>12</v>
      </c>
      <c r="E1001" s="4" t="str">
        <f>TEXT(G1001, "mmmm")</f>
        <v>April</v>
      </c>
      <c r="F1001" s="4" t="str">
        <f>TEXT(G1001, "dddd")</f>
        <v>Wednesday</v>
      </c>
      <c r="G1001" s="7">
        <v>45028</v>
      </c>
      <c r="H1001" s="8" t="s">
        <v>1027</v>
      </c>
      <c r="I1001" s="8" t="s">
        <v>16</v>
      </c>
      <c r="J1001" s="8">
        <v>47</v>
      </c>
      <c r="K1001" s="4" t="str" cm="1">
        <f t="array" ref="K1001">_xlfn.IFS(J1001&lt;30, "Young Adult", J1001&lt;50, "Adult", J1001&gt;=50, "Senior")</f>
        <v>Adult</v>
      </c>
      <c r="L1001" s="8" t="s">
        <v>24</v>
      </c>
      <c r="M1001" s="8">
        <v>4</v>
      </c>
      <c r="N1001" s="9">
        <v>30</v>
      </c>
      <c r="O1001">
        <f>M1001*N1001</f>
        <v>120</v>
      </c>
      <c r="P1001" s="14">
        <f>O1001*$S$3</f>
        <v>1.7999999999999998</v>
      </c>
    </row>
  </sheetData>
  <autoFilter ref="A1:S1001" xr:uid="{00000000-0001-0000-0000-000000000000}">
    <sortState xmlns:xlrd2="http://schemas.microsoft.com/office/spreadsheetml/2017/richdata2" ref="A2:S1001">
      <sortCondition ref="A1:A1001"/>
    </sortState>
  </autoFilter>
  <conditionalFormatting sqref="S9:S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ellIs" dxfId="1" priority="2" operator="equal">
      <formula>"Senior"</formula>
    </cfRule>
  </conditionalFormatting>
  <conditionalFormatting sqref="O1:O1048576">
    <cfRule type="cellIs" dxfId="0" priority="1" operator="lessThan">
      <formula>40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2"/>
  <sheetViews>
    <sheetView workbookViewId="0">
      <selection activeCell="C5" sqref="C5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0</v>
      </c>
      <c r="B1" s="1" t="s">
        <v>13</v>
      </c>
      <c r="C1" s="1" t="s">
        <v>1028</v>
      </c>
      <c r="D1" t="s">
        <v>1029</v>
      </c>
    </row>
    <row r="2" spans="1:4">
      <c r="A2">
        <v>10</v>
      </c>
      <c r="B2">
        <f>VLOOKUP(A2, retail_sales_dataset!A1:P1001, 15, FALSE)</f>
        <v>200</v>
      </c>
      <c r="C2" t="str">
        <f>VLOOKUP(A2, retail_sales_dataset!A1:P1001, 12, FALSE)</f>
        <v>Clothing</v>
      </c>
      <c r="D2" s="16" t="str">
        <f>CONCATENATE(B2, " ",C2)</f>
        <v>200 Clothing</v>
      </c>
    </row>
    <row r="3" spans="1:4">
      <c r="A3">
        <v>15</v>
      </c>
      <c r="B3">
        <f>VLOOKUP(A3, retail_sales_dataset!A2:P1002, 15, FALSE)</f>
        <v>2000</v>
      </c>
      <c r="C3" t="str">
        <f>VLOOKUP(A3, retail_sales_dataset!A2:P1002, 12, FALSE)</f>
        <v>Electronics</v>
      </c>
      <c r="D3" s="16" t="str">
        <f t="shared" ref="D3:D10" si="0">CONCATENATE(B3, " ",C3)</f>
        <v>2000 Electronics</v>
      </c>
    </row>
    <row r="4" spans="1:4">
      <c r="A4">
        <v>25</v>
      </c>
      <c r="B4">
        <f>VLOOKUP(A4, retail_sales_dataset!A3:P1003, 15, FALSE)</f>
        <v>50</v>
      </c>
      <c r="C4" t="str">
        <f>VLOOKUP(A4, retail_sales_dataset!A3:P1003, 12, FALSE)</f>
        <v>Beauty</v>
      </c>
      <c r="D4" s="16" t="str">
        <f t="shared" si="0"/>
        <v>50 Beauty</v>
      </c>
    </row>
    <row r="5" spans="1:4">
      <c r="A5">
        <v>30</v>
      </c>
      <c r="B5">
        <f>VLOOKUP(A5, retail_sales_dataset!A4:P1004, 15, FALSE)</f>
        <v>900</v>
      </c>
      <c r="C5" t="str">
        <f>VLOOKUP(A5, retail_sales_dataset!A4:P1004, 12, FALSE)</f>
        <v>Beauty</v>
      </c>
      <c r="D5" s="16" t="str">
        <f t="shared" si="0"/>
        <v>900 Beauty</v>
      </c>
    </row>
    <row r="6" spans="1:4">
      <c r="A6">
        <v>54</v>
      </c>
      <c r="B6">
        <f>VLOOKUP(A6, retail_sales_dataset!A5:P1005, 15, FALSE)</f>
        <v>1500</v>
      </c>
      <c r="C6" t="str">
        <f>VLOOKUP(A6, retail_sales_dataset!A5:P1005, 12, FALSE)</f>
        <v>Electronics</v>
      </c>
      <c r="D6" s="16" t="str">
        <f t="shared" si="0"/>
        <v>1500 Electronics</v>
      </c>
    </row>
    <row r="7" spans="1:4">
      <c r="A7">
        <v>55</v>
      </c>
      <c r="B7">
        <f>VLOOKUP(A7, retail_sales_dataset!A6:P1006, 15, FALSE)</f>
        <v>120</v>
      </c>
      <c r="C7" t="str">
        <f>VLOOKUP(A7, retail_sales_dataset!A6:P1006, 12, FALSE)</f>
        <v>Beauty</v>
      </c>
      <c r="D7" s="16" t="str">
        <f t="shared" si="0"/>
        <v>120 Beauty</v>
      </c>
    </row>
    <row r="8" spans="1:4">
      <c r="A8">
        <v>67</v>
      </c>
      <c r="B8">
        <f>VLOOKUP(A8, retail_sales_dataset!A7:P1007, 15, FALSE)</f>
        <v>1200</v>
      </c>
      <c r="C8" t="str">
        <f>VLOOKUP(A8, retail_sales_dataset!A7:P1007, 12, FALSE)</f>
        <v>Beauty</v>
      </c>
      <c r="D8" s="16" t="str">
        <f t="shared" si="0"/>
        <v>1200 Beauty</v>
      </c>
    </row>
    <row r="9" spans="1:4">
      <c r="A9">
        <v>89</v>
      </c>
      <c r="B9">
        <f>VLOOKUP(A9, retail_sales_dataset!A8:P1008, 15, FALSE)</f>
        <v>2000</v>
      </c>
      <c r="C9" t="str">
        <f>VLOOKUP(A9, retail_sales_dataset!A8:P1008, 12, FALSE)</f>
        <v>Electronics</v>
      </c>
      <c r="D9" s="16" t="str">
        <f t="shared" si="0"/>
        <v>2000 Electronics</v>
      </c>
    </row>
    <row r="10" spans="1:4">
      <c r="A10">
        <v>100</v>
      </c>
      <c r="B10">
        <f>VLOOKUP(A10, retail_sales_dataset!A9:P1009, 15, FALSE)</f>
        <v>30</v>
      </c>
      <c r="C10" t="str">
        <f>VLOOKUP(A10, retail_sales_dataset!A9:P1009, 12, FALSE)</f>
        <v>Electronics</v>
      </c>
      <c r="D10" s="16" t="str">
        <f t="shared" si="0"/>
        <v>30 Electronics</v>
      </c>
    </row>
    <row r="12" spans="1:4">
      <c r="B12">
        <f>COUNT(B2:B10)</f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063A-59C1-45E8-9661-75B0E00C35A2}">
  <dimension ref="A3:C12"/>
  <sheetViews>
    <sheetView workbookViewId="0">
      <selection activeCell="K5" sqref="K5"/>
    </sheetView>
  </sheetViews>
  <sheetFormatPr defaultRowHeight="15.75"/>
  <cols>
    <col min="1" max="2" width="18.375" bestFit="1" customWidth="1"/>
    <col min="3" max="3" width="16.25" bestFit="1" customWidth="1"/>
    <col min="4" max="4" width="7" bestFit="1" customWidth="1"/>
    <col min="5" max="5" width="11.25" bestFit="1" customWidth="1"/>
    <col min="6" max="6" width="10.75" bestFit="1" customWidth="1"/>
    <col min="7" max="7" width="11" bestFit="1" customWidth="1"/>
    <col min="8" max="8" width="12.875" bestFit="1" customWidth="1"/>
    <col min="9" max="9" width="6.125" bestFit="1" customWidth="1"/>
    <col min="10" max="10" width="16" bestFit="1" customWidth="1"/>
    <col min="11" max="11" width="10.75" bestFit="1" customWidth="1"/>
  </cols>
  <sheetData>
    <row r="3" spans="1:3">
      <c r="A3" s="17" t="s">
        <v>7</v>
      </c>
      <c r="B3" s="17" t="s">
        <v>10</v>
      </c>
      <c r="C3" t="s">
        <v>1030</v>
      </c>
    </row>
    <row r="4" spans="1:3">
      <c r="A4" t="s">
        <v>20</v>
      </c>
      <c r="B4" t="s">
        <v>17</v>
      </c>
      <c r="C4" s="18">
        <v>0.16410087719298247</v>
      </c>
    </row>
    <row r="5" spans="1:3">
      <c r="B5" t="s">
        <v>21</v>
      </c>
      <c r="C5" s="18">
        <v>0.17823464912280701</v>
      </c>
    </row>
    <row r="6" spans="1:3">
      <c r="B6" t="s">
        <v>24</v>
      </c>
      <c r="C6" s="18">
        <v>0.16827850877192982</v>
      </c>
    </row>
    <row r="7" spans="1:3">
      <c r="A7" t="s">
        <v>1031</v>
      </c>
      <c r="C7" s="18">
        <v>0.5106140350877193</v>
      </c>
    </row>
    <row r="8" spans="1:3">
      <c r="A8" t="s">
        <v>16</v>
      </c>
      <c r="B8" t="s">
        <v>17</v>
      </c>
      <c r="C8" s="18">
        <v>0.15062500000000001</v>
      </c>
    </row>
    <row r="9" spans="1:3">
      <c r="B9" t="s">
        <v>21</v>
      </c>
      <c r="C9" s="18">
        <v>0.16294956140350877</v>
      </c>
    </row>
    <row r="10" spans="1:3">
      <c r="B10" t="s">
        <v>24</v>
      </c>
      <c r="C10" s="18">
        <v>0.17581140350877192</v>
      </c>
    </row>
    <row r="11" spans="1:3">
      <c r="A11" t="s">
        <v>1032</v>
      </c>
      <c r="C11" s="18">
        <v>0.4893859649122807</v>
      </c>
    </row>
    <row r="12" spans="1:3">
      <c r="A12" t="s">
        <v>1033</v>
      </c>
      <c r="C12" s="18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EDB9-CCCD-4111-A1E7-2546C01B514C}">
  <dimension ref="A3:D31"/>
  <sheetViews>
    <sheetView tabSelected="1" workbookViewId="0">
      <selection activeCell="E10" sqref="E10"/>
    </sheetView>
  </sheetViews>
  <sheetFormatPr defaultRowHeight="15.75"/>
  <cols>
    <col min="1" max="1" width="18.375" bestFit="1" customWidth="1"/>
    <col min="2" max="3" width="13.25" bestFit="1" customWidth="1"/>
    <col min="4" max="4" width="16.25" bestFit="1" customWidth="1"/>
    <col min="5" max="5" width="10.75" bestFit="1" customWidth="1"/>
  </cols>
  <sheetData>
    <row r="3" spans="1:4">
      <c r="A3" s="17" t="s">
        <v>10</v>
      </c>
      <c r="B3" s="17" t="s">
        <v>7</v>
      </c>
      <c r="C3" s="17" t="s">
        <v>9</v>
      </c>
      <c r="D3" t="s">
        <v>1030</v>
      </c>
    </row>
    <row r="4" spans="1:4">
      <c r="A4" t="s">
        <v>17</v>
      </c>
      <c r="B4" t="s">
        <v>20</v>
      </c>
      <c r="C4" t="s">
        <v>1034</v>
      </c>
      <c r="D4">
        <v>35170</v>
      </c>
    </row>
    <row r="5" spans="1:4">
      <c r="C5" t="s">
        <v>1035</v>
      </c>
      <c r="D5">
        <v>20010</v>
      </c>
    </row>
    <row r="6" spans="1:4">
      <c r="C6" t="s">
        <v>1036</v>
      </c>
      <c r="D6">
        <v>19650</v>
      </c>
    </row>
    <row r="7" spans="1:4">
      <c r="B7" t="s">
        <v>1031</v>
      </c>
      <c r="D7">
        <v>74830</v>
      </c>
    </row>
    <row r="8" spans="1:4">
      <c r="B8" t="s">
        <v>16</v>
      </c>
      <c r="C8" t="s">
        <v>1034</v>
      </c>
      <c r="D8">
        <v>32860</v>
      </c>
    </row>
    <row r="9" spans="1:4">
      <c r="C9" t="s">
        <v>1035</v>
      </c>
      <c r="D9">
        <v>14075</v>
      </c>
    </row>
    <row r="10" spans="1:4">
      <c r="C10" t="s">
        <v>1036</v>
      </c>
      <c r="D10">
        <v>21750</v>
      </c>
    </row>
    <row r="11" spans="1:4">
      <c r="B11" t="s">
        <v>1032</v>
      </c>
      <c r="D11">
        <v>68685</v>
      </c>
    </row>
    <row r="12" spans="1:4">
      <c r="A12" t="s">
        <v>1037</v>
      </c>
      <c r="D12">
        <v>143515</v>
      </c>
    </row>
    <row r="13" spans="1:4">
      <c r="A13" t="s">
        <v>21</v>
      </c>
      <c r="B13" t="s">
        <v>20</v>
      </c>
      <c r="C13" t="s">
        <v>1034</v>
      </c>
      <c r="D13">
        <v>31970</v>
      </c>
    </row>
    <row r="14" spans="1:4">
      <c r="C14" t="s">
        <v>1035</v>
      </c>
      <c r="D14">
        <v>25085</v>
      </c>
    </row>
    <row r="15" spans="1:4">
      <c r="C15" t="s">
        <v>1036</v>
      </c>
      <c r="D15">
        <v>24220</v>
      </c>
    </row>
    <row r="16" spans="1:4">
      <c r="B16" t="s">
        <v>1031</v>
      </c>
      <c r="D16">
        <v>81275</v>
      </c>
    </row>
    <row r="17" spans="1:4">
      <c r="B17" t="s">
        <v>16</v>
      </c>
      <c r="C17" t="s">
        <v>1034</v>
      </c>
      <c r="D17">
        <v>30390</v>
      </c>
    </row>
    <row r="18" spans="1:4">
      <c r="C18" t="s">
        <v>1035</v>
      </c>
      <c r="D18">
        <v>21985</v>
      </c>
    </row>
    <row r="19" spans="1:4">
      <c r="C19" t="s">
        <v>1036</v>
      </c>
      <c r="D19">
        <v>21930</v>
      </c>
    </row>
    <row r="20" spans="1:4">
      <c r="B20" t="s">
        <v>1032</v>
      </c>
      <c r="D20">
        <v>74305</v>
      </c>
    </row>
    <row r="21" spans="1:4">
      <c r="A21" t="s">
        <v>1038</v>
      </c>
      <c r="D21">
        <v>155580</v>
      </c>
    </row>
    <row r="22" spans="1:4">
      <c r="A22" t="s">
        <v>24</v>
      </c>
      <c r="B22" t="s">
        <v>20</v>
      </c>
      <c r="C22" t="s">
        <v>1034</v>
      </c>
      <c r="D22">
        <v>30410</v>
      </c>
    </row>
    <row r="23" spans="1:4">
      <c r="C23" t="s">
        <v>1035</v>
      </c>
      <c r="D23">
        <v>26670</v>
      </c>
    </row>
    <row r="24" spans="1:4">
      <c r="C24" t="s">
        <v>1036</v>
      </c>
      <c r="D24">
        <v>19655</v>
      </c>
    </row>
    <row r="25" spans="1:4">
      <c r="B25" t="s">
        <v>1031</v>
      </c>
      <c r="D25">
        <v>76735</v>
      </c>
    </row>
    <row r="26" spans="1:4">
      <c r="B26" t="s">
        <v>16</v>
      </c>
      <c r="C26" t="s">
        <v>1034</v>
      </c>
      <c r="D26">
        <v>28890</v>
      </c>
    </row>
    <row r="27" spans="1:4">
      <c r="C27" t="s">
        <v>1035</v>
      </c>
      <c r="D27">
        <v>35330</v>
      </c>
    </row>
    <row r="28" spans="1:4">
      <c r="C28" t="s">
        <v>1036</v>
      </c>
      <c r="D28">
        <v>15950</v>
      </c>
    </row>
    <row r="29" spans="1:4">
      <c r="B29" t="s">
        <v>1032</v>
      </c>
      <c r="D29">
        <v>80170</v>
      </c>
    </row>
    <row r="30" spans="1:4">
      <c r="A30" t="s">
        <v>1039</v>
      </c>
      <c r="D30">
        <v>156905</v>
      </c>
    </row>
    <row r="31" spans="1:4">
      <c r="A31" t="s">
        <v>1033</v>
      </c>
      <c r="D31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Props1.xml><?xml version="1.0" encoding="utf-8"?>
<ds:datastoreItem xmlns:ds="http://schemas.openxmlformats.org/officeDocument/2006/customXml" ds:itemID="{6DA07CEC-807D-4764-A388-A6BBED7640E0}"/>
</file>

<file path=customXml/itemProps2.xml><?xml version="1.0" encoding="utf-8"?>
<ds:datastoreItem xmlns:ds="http://schemas.openxmlformats.org/officeDocument/2006/customXml" ds:itemID="{B46F128A-B7FE-46C0-9B9B-600600B1B28E}"/>
</file>

<file path=customXml/itemProps3.xml><?xml version="1.0" encoding="utf-8"?>
<ds:datastoreItem xmlns:ds="http://schemas.openxmlformats.org/officeDocument/2006/customXml" ds:itemID="{E2D36A1E-236C-4E19-9955-D6B07E5D30B7}"/>
</file>

<file path=customXml/itemProps4.xml><?xml version="1.0" encoding="utf-8"?>
<ds:datastoreItem xmlns:ds="http://schemas.openxmlformats.org/officeDocument/2006/customXml" ds:itemID="{A85E162B-7A50-4957-AE78-A5F153441C86}"/>
</file>

<file path=customXml/itemProps5.xml><?xml version="1.0" encoding="utf-8"?>
<ds:datastoreItem xmlns:ds="http://schemas.openxmlformats.org/officeDocument/2006/customXml" ds:itemID="{6A238311-EE1E-4F00-870C-F1577541CA78}"/>
</file>

<file path=customXml/itemProps6.xml><?xml version="1.0" encoding="utf-8"?>
<ds:datastoreItem xmlns:ds="http://schemas.openxmlformats.org/officeDocument/2006/customXml" ds:itemID="{B0863CD4-1E7A-4D88-A05C-62E37A52A464}"/>
</file>

<file path=customXml/itemProps7.xml><?xml version="1.0" encoding="utf-8"?>
<ds:datastoreItem xmlns:ds="http://schemas.openxmlformats.org/officeDocument/2006/customXml" ds:itemID="{0ECF1352-6F0C-4E7B-8AFB-2EA761E69D98}"/>
</file>

<file path=customXml/itemProps8.xml><?xml version="1.0" encoding="utf-8"?>
<ds:datastoreItem xmlns:ds="http://schemas.openxmlformats.org/officeDocument/2006/customXml" ds:itemID="{FE6DF61C-7ABD-44B9-B769-8F2899BB81F7}"/>
</file>

<file path=customXml/itemProps9.xml><?xml version="1.0" encoding="utf-8"?>
<ds:datastoreItem xmlns:ds="http://schemas.openxmlformats.org/officeDocument/2006/customXml" ds:itemID="{15575EC4-E142-4B68-9BA1-7D9F83EA5067}"/>
</file>

<file path=customXml/itemProps10.xml><?xml version="1.0" encoding="utf-8"?>
<ds:datastoreItem xmlns:ds="http://schemas.openxmlformats.org/officeDocument/2006/customXml" ds:itemID="{9190CA0F-535F-4E99-9D22-E64B1EB7326E}"/>
</file>

<file path=customXml/itemProps11.xml><?xml version="1.0" encoding="utf-8"?>
<ds:datastoreItem xmlns:ds="http://schemas.openxmlformats.org/officeDocument/2006/customXml" ds:itemID="{DD9334D5-6C08-4A46-AD2C-FA9BF6D4670C}"/>
</file>

<file path=customXml/itemProps12.xml><?xml version="1.0" encoding="utf-8"?>
<ds:datastoreItem xmlns:ds="http://schemas.openxmlformats.org/officeDocument/2006/customXml" ds:itemID="{09B95C5D-16BB-4BEF-B316-6D3A8C9DD811}"/>
</file>

<file path=customXml/itemProps13.xml><?xml version="1.0" encoding="utf-8"?>
<ds:datastoreItem xmlns:ds="http://schemas.openxmlformats.org/officeDocument/2006/customXml" ds:itemID="{8B7F014E-65B1-48DD-A1AF-A79E02398FCF}"/>
</file>

<file path=customXml/itemProps14.xml><?xml version="1.0" encoding="utf-8"?>
<ds:datastoreItem xmlns:ds="http://schemas.openxmlformats.org/officeDocument/2006/customXml" ds:itemID="{06D295F5-8058-4546-A127-35DC9120150C}"/>
</file>

<file path=customXml/itemProps15.xml><?xml version="1.0" encoding="utf-8"?>
<ds:datastoreItem xmlns:ds="http://schemas.openxmlformats.org/officeDocument/2006/customXml" ds:itemID="{A4B88D49-EA58-47E5-AA07-36D60BC9149C}"/>
</file>

<file path=customXml/itemProps16.xml><?xml version="1.0" encoding="utf-8"?>
<ds:datastoreItem xmlns:ds="http://schemas.openxmlformats.org/officeDocument/2006/customXml" ds:itemID="{82F3FFA2-A909-498D-9BC6-33DF5B99923B}"/>
</file>

<file path=customXml/itemProps17.xml><?xml version="1.0" encoding="utf-8"?>
<ds:datastoreItem xmlns:ds="http://schemas.openxmlformats.org/officeDocument/2006/customXml" ds:itemID="{19C66761-A138-4D29-95EB-4CF018C84C81}"/>
</file>

<file path=customXml/itemProps18.xml><?xml version="1.0" encoding="utf-8"?>
<ds:datastoreItem xmlns:ds="http://schemas.openxmlformats.org/officeDocument/2006/customXml" ds:itemID="{3E8CB0BE-C4BA-4913-9C77-CD4B1441093A}"/>
</file>

<file path=customXml/itemProps19.xml><?xml version="1.0" encoding="utf-8"?>
<ds:datastoreItem xmlns:ds="http://schemas.openxmlformats.org/officeDocument/2006/customXml" ds:itemID="{E643224C-1CC4-4A7F-A567-22ECFBDF61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Bahjo Awad</cp:lastModifiedBy>
  <cp:revision/>
  <dcterms:created xsi:type="dcterms:W3CDTF">2024-01-05T15:03:52Z</dcterms:created>
  <dcterms:modified xsi:type="dcterms:W3CDTF">2026-06-15T11:06:27Z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